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Quantity" sheetId="1" r:id="rId4"/>
    <sheet state="visible" name="Assumption" sheetId="2" r:id="rId5"/>
    <sheet state="visible" name="Cost-Benefit Analysis" sheetId="3" r:id="rId6"/>
    <sheet state="visible" name="Dashboard " sheetId="4" r:id="rId7"/>
    <sheet state="visible" name="Insight" sheetId="5" r:id="rId8"/>
    <sheet state="visible" name="Contribution_New" sheetId="6" r:id="rId9"/>
    <sheet state="visible" name="Contribution_Old" sheetId="7" r:id="rId10"/>
    <sheet state="visible" name="Cost-RM" sheetId="8" r:id="rId11"/>
    <sheet state="visible" name="RM Consumed_PowerSip" sheetId="9" r:id="rId12"/>
    <sheet state="visible" name="RM Consumed_HappyGrow" sheetId="10" r:id="rId13"/>
    <sheet state="visible" name="Case" sheetId="11" r:id="rId14"/>
    <sheet state="visible" name="Data" sheetId="12" r:id="rId15"/>
    <sheet state="visible" name="Data Format" sheetId="13" r:id="rId16"/>
    <sheet state="visible" name="Details" sheetId="14" r:id="rId17"/>
  </sheets>
  <definedNames/>
  <calcPr/>
</workbook>
</file>

<file path=xl/sharedStrings.xml><?xml version="1.0" encoding="utf-8"?>
<sst xmlns="http://schemas.openxmlformats.org/spreadsheetml/2006/main" count="468" uniqueCount="351">
  <si>
    <t>Old Price</t>
  </si>
  <si>
    <t>New Price</t>
  </si>
  <si>
    <t>Old Revenue</t>
  </si>
  <si>
    <t>New Revenue</t>
  </si>
  <si>
    <t>Old Price per Unit</t>
  </si>
  <si>
    <t>New Price per Unit</t>
  </si>
  <si>
    <t>Quantity</t>
  </si>
  <si>
    <t>Item</t>
  </si>
  <si>
    <t>Pack (in ml)</t>
  </si>
  <si>
    <t>Existing Price (in Rs. per Pack)</t>
  </si>
  <si>
    <t>New Price (in Rs. per Pack)</t>
  </si>
  <si>
    <t>PowerSip</t>
  </si>
  <si>
    <t>HappyGrow</t>
  </si>
  <si>
    <t>Material Details of each Pack</t>
  </si>
  <si>
    <t>Price/litre in Rs.</t>
  </si>
  <si>
    <t>Material %</t>
  </si>
  <si>
    <t>Water</t>
  </si>
  <si>
    <t>Milk</t>
  </si>
  <si>
    <t>Pea Protein Extract</t>
  </si>
  <si>
    <t>Coffee Bean Extract</t>
  </si>
  <si>
    <t>Dates Extract</t>
  </si>
  <si>
    <t>Monk Fruit Extract</t>
  </si>
  <si>
    <t>Other Ingredients</t>
  </si>
  <si>
    <t>Price/kg in Rs.</t>
  </si>
  <si>
    <t>Oats Extract</t>
  </si>
  <si>
    <t>Ragi Extract</t>
  </si>
  <si>
    <t>Jowar Extract</t>
  </si>
  <si>
    <t>Bajra Extract</t>
  </si>
  <si>
    <t>Existing Pack</t>
  </si>
  <si>
    <t>New Pack</t>
  </si>
  <si>
    <t>Pack  Cost (in Rs.)</t>
  </si>
  <si>
    <t>Processing Cost (in Rs.)</t>
  </si>
  <si>
    <t>Factory Expenses (in Rs.)</t>
  </si>
  <si>
    <t>Factory Rent</t>
  </si>
  <si>
    <t>Cold Storage Cost</t>
  </si>
  <si>
    <t>MARKETING Expenses (in Rs.)</t>
  </si>
  <si>
    <t>March Budget</t>
  </si>
  <si>
    <t>Month on Month Growth%</t>
  </si>
  <si>
    <t>Old marketing Budget</t>
  </si>
  <si>
    <t>Incremental marketing Cost (in Rs.)</t>
  </si>
  <si>
    <t>1st Month</t>
  </si>
  <si>
    <t xml:space="preserve">Ads Preparation </t>
  </si>
  <si>
    <t>New Design</t>
  </si>
  <si>
    <t>Incremental Advertising</t>
  </si>
  <si>
    <t>Amount (in Rs)</t>
  </si>
  <si>
    <t xml:space="preserve">January </t>
  </si>
  <si>
    <t>February</t>
  </si>
  <si>
    <t>March</t>
  </si>
  <si>
    <t>April</t>
  </si>
  <si>
    <t>May</t>
  </si>
  <si>
    <t>June</t>
  </si>
  <si>
    <t>Contribution</t>
  </si>
  <si>
    <t>Incremental Contribution</t>
  </si>
  <si>
    <t>Total</t>
  </si>
  <si>
    <t>Incremental Profits</t>
  </si>
  <si>
    <t>New Plan</t>
  </si>
  <si>
    <t>Sales</t>
  </si>
  <si>
    <t xml:space="preserve"> Variable  Cost</t>
  </si>
  <si>
    <t>Material Cost</t>
  </si>
  <si>
    <t>Packing Cost</t>
  </si>
  <si>
    <t>Processing Cost</t>
  </si>
  <si>
    <t>Total Variable Cost</t>
  </si>
  <si>
    <t>Contribution (Sales-Variable Cost)</t>
  </si>
  <si>
    <t xml:space="preserve">Total </t>
  </si>
  <si>
    <t>Contribution Per Unit(in Rs.)</t>
  </si>
  <si>
    <t>Old Plan</t>
  </si>
  <si>
    <t>Cost In(Rs)</t>
  </si>
  <si>
    <t>Cost Per Unit (Rs.)</t>
  </si>
  <si>
    <t>January</t>
  </si>
  <si>
    <t>Per Unit Material Consumption (in ml)</t>
  </si>
  <si>
    <t>Sales Units</t>
  </si>
  <si>
    <t xml:space="preserve">Raw Material </t>
  </si>
  <si>
    <t>Old plan</t>
  </si>
  <si>
    <t xml:space="preserve"> </t>
  </si>
  <si>
    <t>Get Started</t>
  </si>
  <si>
    <r>
      <rPr>
        <rFont val="Noto Serif Georgian"/>
        <b/>
        <color theme="1"/>
        <sz val="11.0"/>
      </rPr>
      <t xml:space="preserve">PureVibe Co. </t>
    </r>
    <r>
      <rPr>
        <rFont val="Noto Serif Georgian"/>
        <color theme="1"/>
        <sz val="11.0"/>
      </rPr>
      <t>is a renowned health drink company offering specialized beverages for adults and children. The adult-focused health drink is marketed under the brand name PowerSip, while the children's product is sold under the brand name HappyGrow.</t>
    </r>
  </si>
  <si>
    <t>For the upcoming IPL season, which begins in March, PureVibe plans to capitalize on the tournament's widespread popularity by co-branding with the IPL to drive sales. Although the IPL season kicks off in March, the MARKETING team has launched its promotional campaigns starting January to build early momentum.</t>
  </si>
  <si>
    <t>As part of this initiative, PureVibe will introduce IPL-themed packaging for both PowerSip and HappyGrow. This special packaging will replace their regular designs for a duration of five months. The project entails additional costs for creating and producing the new packaging, alongside higher production and distribution expenses to meet anticipated demand.</t>
  </si>
  <si>
    <t>The finance team has requested a detailed cost-benefit analysis to evaluate the return on investment for this campaign. As a data analyst in the MARKETING department, you are tasked with preparing a comprehensive analysis and presenting the findings through a dashboard to the MARKETING head. The analysis will highlight projected sales increases, advertising costs, and the overall impact on profitability during the campaign.</t>
  </si>
  <si>
    <t>This co-branding effort aims to strengthen brand visibility, attract new customers, and maximize sales during one of the most-watched events of the year.</t>
  </si>
  <si>
    <t>Details</t>
  </si>
  <si>
    <t>PureVibe Co.  produces PowerSip in 300 ml pack and HappyGrow in 200 ml pack. Below are the key details for these products:</t>
  </si>
  <si>
    <t xml:space="preserve">Pricing </t>
  </si>
  <si>
    <t>The selling price per regular pack of PowerSip is Rs. 135, and for HappyGrow, it is Rs. 60. For the new IPL-themed pack, the prices are Rs. 140 and Rs. 70, respectively.</t>
  </si>
  <si>
    <t>Sales Quantity and Growth</t>
  </si>
  <si>
    <t>Details regarding sales are provided in the tab named "Data."</t>
  </si>
  <si>
    <t>Raw Material Details</t>
  </si>
  <si>
    <t>To produce this PowerSip, the following raw materials are required:</t>
  </si>
  <si>
    <t>Water - 35%
Milk - 35%
Pea Protein Extract - 10%
Coffee Bean Extract - 10%
Dates Extract - 5.00%
Monk Fruit Extract - 2.00%
Other Ingredients - 3%</t>
  </si>
  <si>
    <t>To produce this HappyGrow, the following raw materials are required:</t>
  </si>
  <si>
    <t>Water - 42%
Oats Extract - 20%
Ragi Extract - 15%
Jowar Extract - 7%
Bajra Extract - 7%
Dates Extract - 6%
Other Ingredients - 3%</t>
  </si>
  <si>
    <t>The price of raw material per litre in Rs. is provided as below:</t>
  </si>
  <si>
    <t>Water - 8
Milk - 50
Pea Protein Extract - 400
Coffee Bean Extract - 300
Dates Extract - 90
Monk Fruit Extract - 1100
Other Ingredients - 1200
Oats Extract - 80
Ragi Extract - 40
Jowar Extract - 29
Bajra Extract - 25</t>
  </si>
  <si>
    <t>Packing and Processing Costs</t>
  </si>
  <si>
    <t>As per the old plan,  packing cost per unit is ₹2.</t>
  </si>
  <si>
    <t>As per the new plan,  packing cost per unit is ₹3.</t>
  </si>
  <si>
    <t>As per the old plan and new plan, processing cost per unit will be ₹8.</t>
  </si>
  <si>
    <t>Fixed Costs Old</t>
  </si>
  <si>
    <t>The factory expenses include a monthly rent of ₹1,50,000 and a cold storage cost of ₹75,000.</t>
  </si>
  <si>
    <t>The MARKETING budget begins at ₹80,000 for the first month, with a planned 10% increase each subsequent month.</t>
  </si>
  <si>
    <t>New Ad Plan</t>
  </si>
  <si>
    <t>The company will launch the advertising campaign in January and continue it until June.</t>
  </si>
  <si>
    <t>Under the new plan, the ad preparation cost is estimated at ₹10,000,000, while the cost for the new design is ₹10,000.</t>
  </si>
  <si>
    <t>The incremental advertising cost of ₹30,000,000 will be evenly distributed over the campaign period.</t>
  </si>
  <si>
    <t>Objective</t>
  </si>
  <si>
    <t>To conduct a cost-benefit analysis of the new marketing campaign and come out with insights and recommendations for the same.</t>
  </si>
  <si>
    <t>Data</t>
  </si>
  <si>
    <t>Details regarding sales is given in the Data Tab</t>
  </si>
  <si>
    <t>The explanation of the data format is provided in the "Data Format" tab.</t>
  </si>
  <si>
    <t>MONTH</t>
  </si>
  <si>
    <t>Region</t>
  </si>
  <si>
    <t>City</t>
  </si>
  <si>
    <t>PRD</t>
  </si>
  <si>
    <t>OPQ (Old plan Quantity)</t>
  </si>
  <si>
    <t>NPQ(New plan Quantity)</t>
  </si>
  <si>
    <t>//Month1 //#N#City_Chennai//PRD-PowerSip//OPQ  21497/NPQ[IPLMARKETING]22572</t>
  </si>
  <si>
    <t>//Month1 //#N#City_Chennai//PRD-HappyGrow//OPQ  16650/NPQ[IPLMARKETING]16817</t>
  </si>
  <si>
    <t>//Month1 //#E#City_Chennai//PRD-PowerSip//OPQ  11470/NPQ[IPLMARKETING]12044</t>
  </si>
  <si>
    <t>//Month1 //#E#City_Chennai//PRD-HappyGrow//OPQ  22348/NPQ[IPLMARKETING]22572</t>
  </si>
  <si>
    <t>//Month1 //#W#City_Chennai//PRD-PowerSip//OPQ  13727/NPQ[IPLMARKETING]14551</t>
  </si>
  <si>
    <t>//Month1 //#W#City_Chennai//PRD-HappyGrow//OPQ  15799/NPQ[IPLMARKETING]15957</t>
  </si>
  <si>
    <t>//Month1 //#S#City_Chennai//PRD-PowerSip//OPQ  24827/NPQ[IPLMARKETING]26565</t>
  </si>
  <si>
    <t>//Month1 //#S#City_Chennai//PRD-HappyGrow//OPQ  13468/NPQ[IPLMARKETING]13603</t>
  </si>
  <si>
    <t>//Month1 //#N#City_Mumbai//PRD-PowerSip//OPQ  22237/NPQ[IPLMARKETING]23794</t>
  </si>
  <si>
    <t>//Month1 //#N#City_Mumbai//PRD-HappyGrow//OPQ  23421/NPQ[IPLMARKETING]23656</t>
  </si>
  <si>
    <t>//Month1 //#E#City_Mumbai//PRD-PowerSip//OPQ  12469/NPQ[IPLMARKETING]13467</t>
  </si>
  <si>
    <t>//Month1 //#E#City_Mumbai//PRD-HappyGrow//OPQ  16354/NPQ[IPLMARKETING]16518</t>
  </si>
  <si>
    <t>//Month1 //#W#City_Mumbai//PRD-PowerSip//OPQ  19536/NPQ[IPLMARKETING]21099</t>
  </si>
  <si>
    <t>//Month1 //#W#City_Mumbai//PRD-HappyGrow//OPQ  11359/NPQ[IPLMARKETING]11587</t>
  </si>
  <si>
    <t>//Month1 //#S#City_Mumbai//PRD-PowerSip//OPQ  12062/NPQ[IPLMARKETING]13148</t>
  </si>
  <si>
    <t>//Month1 //#S#City_Mumbai//PRD-HappyGrow//OPQ  13579/NPQ[IPLMARKETING]13851</t>
  </si>
  <si>
    <t>//Month1 //#N#City_Bengaluru//PRD-PowerSip//OPQ  21275/NPQ[IPLMARKETING]23190</t>
  </si>
  <si>
    <t>//Month1 //#N#City_Bengaluru//PRD-HappyGrow//OPQ  18611/NPQ[IPLMARKETING]18984</t>
  </si>
  <si>
    <t>//Month1 //#E#City_Bengaluru//PRD-PowerSip//OPQ  24050/NPQ[IPLMARKETING]26215</t>
  </si>
  <si>
    <t>//Month1 //#E#City_Bengaluru//PRD-HappyGrow//OPQ  15133/NPQ[IPLMARKETING]15436</t>
  </si>
  <si>
    <t>//Month1 //#W#City_Bengaluru//PRD-PowerSip//OPQ  17834/NPQ[IPLMARKETING]19618</t>
  </si>
  <si>
    <t>//Month1 //#W#City_Bengaluru//PRD-HappyGrow//OPQ  14097/NPQ[IPLMARKETING]14520</t>
  </si>
  <si>
    <t>//Month1 //#S#City_Bengaluru//PRD-PowerSip//OPQ  24642/NPQ[IPLMARKETING]27353</t>
  </si>
  <si>
    <t>//Month1 //#S#City_Bengaluru//PRD-HappyGrow//OPQ  24864/NPQ[IPLMARKETING]25610</t>
  </si>
  <si>
    <t>//Month1 //#N#City_Delhi//PRD-PowerSip//OPQ  19832/NPQ[IPLMARKETING]22212</t>
  </si>
  <si>
    <t>//Month1 //#N#City_Delhi//PRD-HappyGrow//OPQ  12321/NPQ[IPLMARKETING]12691</t>
  </si>
  <si>
    <t>//Month1 //#E#City_Delhi//PRD-PowerSip//OPQ  21571/NPQ[IPLMARKETING]24160</t>
  </si>
  <si>
    <t>//Month1 //#E#City_Delhi//PRD-HappyGrow//OPQ  13320/NPQ[IPLMARKETING]13853</t>
  </si>
  <si>
    <t>//Month1 //#W#City_Delhi//PRD-PowerSip//OPQ  20091/NPQ[IPLMARKETING]22502</t>
  </si>
  <si>
    <t>//Month1 //#W#City_Delhi//PRD-HappyGrow//OPQ  15244/NPQ[IPLMARKETING]15854</t>
  </si>
  <si>
    <t>//Month1 //#S#City_Delhi//PRD-PowerSip//OPQ  17316/NPQ[IPLMARKETING]19394</t>
  </si>
  <si>
    <t>//Month1 //#S#City_Delhi//PRD-HappyGrow//OPQ  22866/NPQ[IPLMARKETING]23781</t>
  </si>
  <si>
    <t>//Month2 //#N#City_Chennai//PRD-PowerSip//OPQ  23647/NPQ[IPLMARKETING]26485</t>
  </si>
  <si>
    <t>//Month2 //#N#City_Chennai//PRD-HappyGrow//OPQ  17816/NPQ[IPLMARKETING]18529</t>
  </si>
  <si>
    <t>//Month2 //#E#City_Chennai//PRD-PowerSip//OPQ  12617/NPQ[IPLMARKETING]14258</t>
  </si>
  <si>
    <t>//Month2 //#E#City_Chennai//PRD-HappyGrow//OPQ  23912/NPQ[IPLMARKETING]25108</t>
  </si>
  <si>
    <t>//Month2 //#W#City_Chennai//PRD-PowerSip//OPQ  15100/NPQ[IPLMARKETING]17063</t>
  </si>
  <si>
    <t>//Month2 //#W#City_Chennai//PRD-HappyGrow//OPQ  16905/NPQ[IPLMARKETING]17751</t>
  </si>
  <si>
    <t>//Month2 //#S#City_Chennai//PRD-PowerSip//OPQ  27310/NPQ[IPLMARKETING]30861</t>
  </si>
  <si>
    <t>//Month2 //#S#City_Chennai//PRD-HappyGrow//OPQ  14411/NPQ[IPLMARKETING]15132</t>
  </si>
  <si>
    <t>//Month2 //#N#City_Mumbai//PRD-PowerSip//OPQ  24461/NPQ[IPLMARKETING]27886</t>
  </si>
  <si>
    <t>//Month2 //#N#City_Mumbai//PRD-HappyGrow//OPQ  25060/NPQ[IPLMARKETING]26313</t>
  </si>
  <si>
    <t>//Month2 //#E#City_Mumbai//PRD-PowerSip//OPQ  13716/NPQ[IPLMARKETING]15637</t>
  </si>
  <si>
    <t>//Month2 //#E#City_Mumbai//PRD-HappyGrow//OPQ  17499/NPQ[IPLMARKETING]18549</t>
  </si>
  <si>
    <t>//Month2 //#W#City_Mumbai//PRD-PowerSip//OPQ  21490/NPQ[IPLMARKETING]24929</t>
  </si>
  <si>
    <t>//Month2 //#W#City_Mumbai//PRD-HappyGrow//OPQ  12154/NPQ[IPLMARKETING]12884</t>
  </si>
  <si>
    <t>//Month2 //#S#City_Mumbai//PRD-PowerSip//OPQ  13268/NPQ[IPLMARKETING]15391</t>
  </si>
  <si>
    <t>//Month2 //#S#City_Mumbai//PRD-HappyGrow//OPQ  14530/NPQ[IPLMARKETING]15548</t>
  </si>
  <si>
    <t>//Month2 //#N#City_Bengaluru//PRD-PowerSip//OPQ  23403/NPQ[IPLMARKETING]27382</t>
  </si>
  <si>
    <t>//Month2 //#N#City_Bengaluru//PRD-HappyGrow//OPQ  19914/NPQ[IPLMARKETING]21308</t>
  </si>
  <si>
    <t>//Month2 //#E#City_Bengaluru//PRD-PowerSip//OPQ  26455/NPQ[IPLMARKETING]30953</t>
  </si>
  <si>
    <t>//Month2 //#E#City_Bengaluru//PRD-HappyGrow//OPQ  16192/NPQ[IPLMARKETING]17326</t>
  </si>
  <si>
    <t>//Month2 //#W#City_Bengaluru//PRD-PowerSip//OPQ  19617/NPQ[IPLMARKETING]22952</t>
  </si>
  <si>
    <t>//Month2 //#W#City_Bengaluru//PRD-HappyGrow//OPQ  15084/NPQ[IPLMARKETING]16140</t>
  </si>
  <si>
    <t>//Month2 //#S#City_Bengaluru//PRD-PowerSip//OPQ  27106/NPQ[IPLMARKETING]31715</t>
  </si>
  <si>
    <t>//Month2 //#S#City_Bengaluru//PRD-HappyGrow//OPQ  26604/NPQ[IPLMARKETING]28467</t>
  </si>
  <si>
    <t>//Month2 //#N#City_Delhi//PRD-PowerSip//OPQ  21815/NPQ[IPLMARKETING]25524</t>
  </si>
  <si>
    <t>//Month2 //#N#City_Delhi//PRD-HappyGrow//OPQ  13183/NPQ[IPLMARKETING]14238</t>
  </si>
  <si>
    <t>//Month2 //#E#City_Delhi//PRD-PowerSip//OPQ  23728/NPQ[IPLMARKETING]27762</t>
  </si>
  <si>
    <t>//Month2 //#E#City_Delhi//PRD-HappyGrow//OPQ  14252/NPQ[IPLMARKETING]15393</t>
  </si>
  <si>
    <t>//Month2 //#W#City_Delhi//PRD-PowerSip//OPQ  22100/NPQ[IPLMARKETING]26078</t>
  </si>
  <si>
    <t>//Month2 //#W#City_Delhi//PRD-HappyGrow//OPQ  16311/NPQ[IPLMARKETING]17616</t>
  </si>
  <si>
    <t>//Month2 //#S#City_Delhi//PRD-PowerSip//OPQ  19048/NPQ[IPLMARKETING]22477</t>
  </si>
  <si>
    <t>//Month2 //#S#City_Delhi//PRD-HappyGrow//OPQ  24467/NPQ[IPLMARKETING]26425</t>
  </si>
  <si>
    <t>//Month3 //#N#City_Chennai//PRD-PowerSip//OPQ  26012/NPQ[IPLMARKETING]30695</t>
  </si>
  <si>
    <t>//Month3 //#N#City_Chennai//PRD-HappyGrow//OPQ  19063/NPQ[IPLMARKETING]20589</t>
  </si>
  <si>
    <t>//Month3 //#E#City_Chennai//PRD-PowerSip//OPQ  13879/NPQ[IPLMARKETING]16378</t>
  </si>
  <si>
    <t>//Month3 //#E#City_Chennai//PRD-HappyGrow//OPQ  25586/NPQ[IPLMARKETING]27889</t>
  </si>
  <si>
    <t>//Month3 //#W#City_Chennai//PRD-PowerSip//OPQ  16610/NPQ[IPLMARKETING]19600</t>
  </si>
  <si>
    <t>//Month3 //#W#City_Chennai//PRD-HappyGrow//OPQ  18088/NPQ[IPLMARKETING]19716</t>
  </si>
  <si>
    <t>//Month3 //#S#City_Chennai//PRD-PowerSip//OPQ  30041/NPQ[IPLMARKETING]35449</t>
  </si>
  <si>
    <t>//Month3 //#S#City_Chennai//PRD-HappyGrow//OPQ  15420/NPQ[IPLMARKETING]16808</t>
  </si>
  <si>
    <t>//Month3 //#N#City_Mumbai//PRD-PowerSip//OPQ  26907/NPQ[IPLMARKETING]31751</t>
  </si>
  <si>
    <t>//Month3 //#N#City_Mumbai//PRD-HappyGrow//OPQ  26814/NPQ[IPLMARKETING]29228</t>
  </si>
  <si>
    <t>//Month3 //#E#City_Mumbai//PRD-PowerSip//OPQ  15088/NPQ[IPLMARKETING]17804</t>
  </si>
  <si>
    <t>//Month3 //#E#City_Mumbai//PRD-HappyGrow//OPQ  18724/NPQ[IPLMARKETING]20410</t>
  </si>
  <si>
    <t>//Month3 //#W#City_Mumbai//PRD-PowerSip//OPQ  23639/NPQ[IPLMARKETING]27895</t>
  </si>
  <si>
    <t>//Month3 //#W#City_Mumbai//PRD-HappyGrow//OPQ  13005/NPQ[IPLMARKETING]14306</t>
  </si>
  <si>
    <t>//Month3 //#S#City_Mumbai//PRD-PowerSip//OPQ  14595/NPQ[IPLMARKETING]17369</t>
  </si>
  <si>
    <t>//Month3 //#S#City_Mumbai//PRD-HappyGrow//OPQ  15547/NPQ[IPLMARKETING]17258</t>
  </si>
  <si>
    <t>//Month3 //#N#City_Bengaluru//PRD-PowerSip//OPQ  25743/NPQ[IPLMARKETING]30635</t>
  </si>
  <si>
    <t>//Month3 //#N#City_Bengaluru//PRD-HappyGrow//OPQ  21308/NPQ[IPLMARKETING]23652</t>
  </si>
  <si>
    <t>//Month3 //#E#City_Bengaluru//PRD-PowerSip//OPQ  29101/NPQ[IPLMARKETING]34631</t>
  </si>
  <si>
    <t>//Month3 //#E#City_Bengaluru//PRD-HappyGrow//OPQ  17325/NPQ[IPLMARKETING]19231</t>
  </si>
  <si>
    <t>//Month3 //#W#City_Bengaluru//PRD-PowerSip//OPQ  21579/NPQ[IPLMARKETING]25895</t>
  </si>
  <si>
    <t>//Month3 //#W#City_Bengaluru//PRD-HappyGrow//OPQ  16140/NPQ[IPLMARKETING]17916</t>
  </si>
  <si>
    <t>//Month3 //#S#City_Bengaluru//PRD-PowerSip//OPQ  29817/NPQ[IPLMARKETING]35781</t>
  </si>
  <si>
    <t>//Month3 //#S#City_Bengaluru//PRD-HappyGrow//OPQ  28466/NPQ[IPLMARKETING]31598</t>
  </si>
  <si>
    <t>//Month3 //#N#City_Delhi//PRD-PowerSip//OPQ  23997/NPQ[IPLMARKETING]28797</t>
  </si>
  <si>
    <t>//Month3 //#N#City_Delhi//PRD-HappyGrow//OPQ  14106/NPQ[IPLMARKETING]15799</t>
  </si>
  <si>
    <t>//Month3 //#E#City_Delhi//PRD-PowerSip//OPQ  26101/NPQ[IPLMARKETING]31583</t>
  </si>
  <si>
    <t>//Month3 //#E#City_Delhi//PRD-HappyGrow//OPQ  15250/NPQ[IPLMARKETING]17080</t>
  </si>
  <si>
    <t>//Month3 //#W#City_Delhi//PRD-PowerSip//OPQ  24310/NPQ[IPLMARKETING]29416</t>
  </si>
  <si>
    <t>//Month3 //#W#City_Delhi//PRD-HappyGrow//OPQ  17453/NPQ[IPLMARKETING]19548</t>
  </si>
  <si>
    <t>//Month3 //#S#City_Delhi//PRD-PowerSip//OPQ  20953/NPQ[IPLMARKETING]25354</t>
  </si>
  <si>
    <t>//Month3 //#S#City_Delhi//PRD-HappyGrow//OPQ  26180/NPQ[IPLMARKETING]29322</t>
  </si>
  <si>
    <t>//Month4 //#N#City_Chennai//PRD-PowerSip//OPQ  28613/NPQ[IPLMARKETING]34908</t>
  </si>
  <si>
    <t>//Month4 //#N#City_Chennai//PRD-HappyGrow//OPQ  20397/NPQ[IPLMARKETING]23049</t>
  </si>
  <si>
    <t>//Month4 //#E#City_Chennai//PRD-PowerSip//OPQ  15267/NPQ[IPLMARKETING]18626</t>
  </si>
  <si>
    <t>//Month4 //#E#City_Chennai//PRD-HappyGrow//OPQ  27377/NPQ[IPLMARKETING]30937</t>
  </si>
  <si>
    <t>//Month4 //#W#City_Chennai//PRD-PowerSip//OPQ  18271/NPQ[IPLMARKETING]22291</t>
  </si>
  <si>
    <t>//Month4 //#W#City_Chennai//PRD-HappyGrow//OPQ  19354/NPQ[IPLMARKETING]21871</t>
  </si>
  <si>
    <t>//Month4 //#S#City_Chennai//PRD-PowerSip//OPQ  33045/NPQ[IPLMARKETING]40646</t>
  </si>
  <si>
    <t>//Month4 //#S#City_Chennai//PRD-HappyGrow//OPQ  16499/NPQ[IPLMARKETING]18644</t>
  </si>
  <si>
    <t>//Month4 //#N#City_Mumbai//PRD-PowerSip//OPQ  29598/NPQ[IPLMARKETING]36702</t>
  </si>
  <si>
    <t>//Month4 //#N#City_Mumbai//PRD-HappyGrow//OPQ  28691/NPQ[IPLMARKETING]32708</t>
  </si>
  <si>
    <t>//Month4 //#E#City_Mumbai//PRD-PowerSip//OPQ  16597/NPQ[IPLMARKETING]20747</t>
  </si>
  <si>
    <t>//Month4 //#E#City_Mumbai//PRD-HappyGrow//OPQ  20035/NPQ[IPLMARKETING]22840</t>
  </si>
  <si>
    <t>//Month4 //#W#City_Mumbai//PRD-PowerSip//OPQ  26003/NPQ[IPLMARKETING]32504</t>
  </si>
  <si>
    <t>//Month4 //#W#City_Mumbai//PRD-HappyGrow//OPQ  13915/NPQ[IPLMARKETING]15864</t>
  </si>
  <si>
    <t>//Month4 //#S#City_Mumbai//PRD-PowerSip//OPQ  16055/NPQ[IPLMARKETING]20069</t>
  </si>
  <si>
    <t>//Month4 //#S#City_Mumbai//PRD-HappyGrow//OPQ  16635/NPQ[IPLMARKETING]18964</t>
  </si>
  <si>
    <t>//Month4 //#N#City_Bengaluru//PRD-PowerSip//OPQ  28317/NPQ[IPLMARKETING]35397</t>
  </si>
  <si>
    <t>//Month4 //#N#City_Bengaluru//PRD-HappyGrow//OPQ  22800/NPQ[IPLMARKETING]26220</t>
  </si>
  <si>
    <t>//Month4 //#E#City_Bengaluru//PRD-PowerSip//OPQ  32011/NPQ[IPLMARKETING]40334</t>
  </si>
  <si>
    <t>//Month4 //#E#City_Bengaluru//PRD-HappyGrow//OPQ  18538/NPQ[IPLMARKETING]21319</t>
  </si>
  <si>
    <t>//Month4 //#W#City_Bengaluru//PRD-PowerSip//OPQ  23737/NPQ[IPLMARKETING]29909</t>
  </si>
  <si>
    <t>//Month4 //#W#City_Bengaluru//PRD-HappyGrow//OPQ  17270/NPQ[IPLMARKETING]19861</t>
  </si>
  <si>
    <t>//Month4 //#S#City_Bengaluru//PRD-PowerSip//OPQ  32799/NPQ[IPLMARKETING]41327</t>
  </si>
  <si>
    <t>//Month4 //#S#City_Bengaluru//PRD-HappyGrow//OPQ  30459/NPQ[IPLMARKETING]35028</t>
  </si>
  <si>
    <t>//Month4 //#N#City_Delhi//PRD-PowerSip//OPQ  26397/NPQ[IPLMARKETING]33525</t>
  </si>
  <si>
    <t>//Month4 //#N#City_Delhi//PRD-HappyGrow//OPQ  15093/NPQ[IPLMARKETING]17508</t>
  </si>
  <si>
    <t>//Month4 //#E#City_Delhi//PRD-PowerSip//OPQ  28711/NPQ[IPLMARKETING]36463</t>
  </si>
  <si>
    <t>//Month4 //#E#City_Delhi//PRD-HappyGrow//OPQ  16318/NPQ[IPLMARKETING]18929</t>
  </si>
  <si>
    <t>//Month4 //#W#City_Delhi//PRD-PowerSip//OPQ  26741/NPQ[IPLMARKETING]33962</t>
  </si>
  <si>
    <t>//Month4 //#W#City_Delhi//PRD-HappyGrow//OPQ  18675/NPQ[IPLMARKETING]21850</t>
  </si>
  <si>
    <t>//Month4 //#S#City_Delhi//PRD-PowerSip//OPQ  23048/NPQ[IPLMARKETING]29502</t>
  </si>
  <si>
    <t>//Month4 //#S#City_Delhi//PRD-HappyGrow//OPQ  28013/NPQ[IPLMARKETING]32776</t>
  </si>
  <si>
    <t>//Month5 //#N#City_Chennai//PRD-PowerSip//OPQ  31474/NPQ[IPLMARKETING]40602</t>
  </si>
  <si>
    <t>//Month5 //#N#City_Chennai//PRD-HappyGrow//OPQ  21825/NPQ[IPLMARKETING]25536</t>
  </si>
  <si>
    <t>//Month5 //#E#City_Chennai//PRD-PowerSip//OPQ  16794/NPQ[IPLMARKETING]21665</t>
  </si>
  <si>
    <t>//Month5 //#E#City_Chennai//PRD-HappyGrow//OPQ  29293/NPQ[IPLMARKETING]34273</t>
  </si>
  <si>
    <t>//Month5 //#W#City_Chennai//PRD-PowerSip//OPQ  20098/NPQ[IPLMARKETING]25927</t>
  </si>
  <si>
    <t>//Month5 //#W#City_Chennai//PRD-HappyGrow//OPQ  20709/NPQ[IPLMARKETING]24230</t>
  </si>
  <si>
    <t>//Month5 //#S#City_Chennai//PRD-PowerSip//OPQ  36350/NPQ[IPLMARKETING]47255</t>
  </si>
  <si>
    <t>//Month5 //#S#City_Chennai//PRD-HappyGrow//OPQ  17654/NPQ[IPLMARKETING]20656</t>
  </si>
  <si>
    <t>//Month5 //#N#City_Mumbai//PRD-PowerSip//OPQ  32558/NPQ[IPLMARKETING]42326</t>
  </si>
  <si>
    <t>//Month5 //#N#City_Mumbai//PRD-HappyGrow//OPQ  30699/NPQ[IPLMARKETING]36225</t>
  </si>
  <si>
    <t>//Month5 //#E#City_Mumbai//PRD-PowerSip//OPQ  18257/NPQ[IPLMARKETING]23917</t>
  </si>
  <si>
    <t>//Month5 //#E#City_Mumbai//PRD-HappyGrow//OPQ  21437/NPQ[IPLMARKETING]25296</t>
  </si>
  <si>
    <t>//Month5 //#W#City_Mumbai//PRD-PowerSip//OPQ  28603/NPQ[IPLMARKETING]37756</t>
  </si>
  <si>
    <t>//Month5 //#W#City_Mumbai//PRD-HappyGrow//OPQ  14889/NPQ[IPLMARKETING]17718</t>
  </si>
  <si>
    <t>//Month5 //#S#City_Mumbai//PRD-PowerSip//OPQ  17661/NPQ[IPLMARKETING]23313</t>
  </si>
  <si>
    <t>//Month5 //#S#City_Mumbai//PRD-HappyGrow//OPQ  17799/NPQ[IPLMARKETING]21181</t>
  </si>
  <si>
    <t>//Month5 //#N#City_Bengaluru//PRD-PowerSip//OPQ  31149/NPQ[IPLMARKETING]41117</t>
  </si>
  <si>
    <t>//Month5 //#N#City_Bengaluru//PRD-HappyGrow//OPQ  24396/NPQ[IPLMARKETING]29032</t>
  </si>
  <si>
    <t>//Month5 //#E#City_Bengaluru//PRD-PowerSip//OPQ  35212/NPQ[IPLMARKETING]46832</t>
  </si>
  <si>
    <t>//Month5 //#E#City_Bengaluru//PRD-HappyGrow//OPQ  19836/NPQ[IPLMARKETING]23605</t>
  </si>
  <si>
    <t>//Month5 //#W#City_Bengaluru//PRD-PowerSip//OPQ  26111/NPQ[IPLMARKETING]34728</t>
  </si>
  <si>
    <t>//Month5 //#W#City_Bengaluru//PRD-HappyGrow//OPQ  18479/NPQ[IPLMARKETING]22175</t>
  </si>
  <si>
    <t>//Month5 //#S#City_Bengaluru//PRD-PowerSip//OPQ  36079/NPQ[IPLMARKETING]47986</t>
  </si>
  <si>
    <t>//Month5 //#S#City_Bengaluru//PRD-HappyGrow//OPQ  32591/NPQ[IPLMARKETING]39110</t>
  </si>
  <si>
    <t>//Month5 //#N#City_Delhi//PRD-PowerSip//OPQ  29037/NPQ[IPLMARKETING]38620</t>
  </si>
  <si>
    <t>//Month5 //#N#City_Delhi//PRD-HappyGrow//OPQ  16150/NPQ[IPLMARKETING]19542</t>
  </si>
  <si>
    <t>//Month5 //#E#City_Delhi//PRD-PowerSip//OPQ  31582/NPQ[IPLMARKETING]42005</t>
  </si>
  <si>
    <t>//Month5 //#E#City_Delhi//PRD-HappyGrow//OPQ  17460/NPQ[IPLMARKETING]21127</t>
  </si>
  <si>
    <t>//Month5 //#W#City_Delhi//PRD-PowerSip//OPQ  29415/NPQ[IPLMARKETING]39417</t>
  </si>
  <si>
    <t>//Month5 //#W#City_Delhi//PRD-HappyGrow//OPQ  19982/NPQ[IPLMARKETING]24179</t>
  </si>
  <si>
    <t>//Month5 //#S#City_Delhi//PRD-PowerSip//OPQ  25353/NPQ[IPLMARKETING]33974</t>
  </si>
  <si>
    <t>//Month5 //#S#City_Delhi//PRD-HappyGrow//OPQ  29974/NPQ[IPLMARKETING]36269</t>
  </si>
  <si>
    <t>//Month6 //#N#City_Chennai//PRD-PowerSip//OPQ  34621/NPQ[IPLMARKETING]46739</t>
  </si>
  <si>
    <t>//Month6 //#N#City_Chennai//PRD-HappyGrow//OPQ  23353/NPQ[IPLMARKETING]28258</t>
  </si>
  <si>
    <t>//Month6 //#E#City_Chennai//PRD-PowerSip//OPQ  18473/NPQ[IPLMARKETING]24939</t>
  </si>
  <si>
    <t>//Month6 //#E#City_Chennai//PRD-HappyGrow//OPQ  31344/NPQ[IPLMARKETING]38240</t>
  </si>
  <si>
    <t>//Month6 //#W#City_Chennai//PRD-PowerSip//OPQ  22108/NPQ[IPLMARKETING]30067</t>
  </si>
  <si>
    <t>//Month6 //#W#City_Chennai//PRD-HappyGrow//OPQ  22159/NPQ[IPLMARKETING]27034</t>
  </si>
  <si>
    <t>//Month6 //#S#City_Chennai//PRD-PowerSip//OPQ  39985/NPQ[IPLMARKETING]54380</t>
  </si>
  <si>
    <t>//Month6 //#S#City_Chennai//PRD-HappyGrow//OPQ  18890/NPQ[IPLMARKETING]23046</t>
  </si>
  <si>
    <t>//Month6 //#N#City_Mumbai//PRD-PowerSip//OPQ  35814/NPQ[IPLMARKETING]49066</t>
  </si>
  <si>
    <t>//Month6 //#N#City_Mumbai//PRD-HappyGrow//OPQ  32848/NPQ[IPLMARKETING]40075</t>
  </si>
  <si>
    <t>//Month6 //#E#City_Mumbai//PRD-PowerSip//OPQ  20083/NPQ[IPLMARKETING]27514</t>
  </si>
  <si>
    <t>//Month6 //#E#City_Mumbai//PRD-HappyGrow//OPQ  22938/NPQ[IPLMARKETING]27985</t>
  </si>
  <si>
    <t>//Month6 //#W#City_Mumbai//PRD-PowerSip//OPQ  31463/NPQ[IPLMARKETING]43419</t>
  </si>
  <si>
    <t>//Month6 //#W#City_Mumbai//PRD-HappyGrow//OPQ  15931/NPQ[IPLMARKETING]19436</t>
  </si>
  <si>
    <t>//Month6 //#S#City_Mumbai//PRD-PowerSip//OPQ  19427/NPQ[IPLMARKETING]27004</t>
  </si>
  <si>
    <t>//Month6 //#S#City_Mumbai//PRD-HappyGrow//OPQ  19045/NPQ[IPLMARKETING]23235</t>
  </si>
  <si>
    <t>//Month6 //#N#City_Bengaluru//PRD-PowerSip//OPQ  34264/NPQ[IPLMARKETING]47627</t>
  </si>
  <si>
    <t>//Month6 //#N#City_Bengaluru//PRD-HappyGrow//OPQ  26104/NPQ[IPLMARKETING]32108</t>
  </si>
  <si>
    <t>//Month6 //#E#City_Bengaluru//PRD-PowerSip//OPQ  38733/NPQ[IPLMARKETING]53839</t>
  </si>
  <si>
    <t>//Month6 //#E#City_Bengaluru//PRD-HappyGrow//OPQ  21225/NPQ[IPLMARKETING]26107</t>
  </si>
  <si>
    <t>//Month6 //#W#City_Bengaluru//PRD-PowerSip//OPQ  28722/NPQ[IPLMARKETING]39924</t>
  </si>
  <si>
    <t>//Month6 //#W#City_Bengaluru//PRD-HappyGrow//OPQ  19773/NPQ[IPLMARKETING]24321</t>
  </si>
  <si>
    <t>//Month6 //#S#City_Bengaluru//PRD-PowerSip//OPQ  39687/NPQ[IPLMARKETING]55165</t>
  </si>
  <si>
    <t>//Month6 //#S#City_Bengaluru//PRD-HappyGrow//OPQ  34872/NPQ[IPLMARKETING]42893</t>
  </si>
  <si>
    <t>//Month6 //#N#City_Delhi//PRD-PowerSip//OPQ  31941/NPQ[IPLMARKETING]44398</t>
  </si>
  <si>
    <t>//Month6 //#N#City_Delhi//PRD-HappyGrow//OPQ  17281/NPQ[IPLMARKETING]21429</t>
  </si>
  <si>
    <t>//Month6 //#E#City_Delhi//PRD-PowerSip//OPQ  34740/NPQ[IPLMARKETING]48636</t>
  </si>
  <si>
    <t>//Month6 //#E#City_Delhi//PRD-HappyGrow//OPQ  18682/NPQ[IPLMARKETING]23353</t>
  </si>
  <si>
    <t>//Month6 //#W#City_Delhi//PRD-PowerSip//OPQ  32357/NPQ[IPLMARKETING]45300</t>
  </si>
  <si>
    <t>//Month6 //#W#City_Delhi//PRD-HappyGrow//OPQ  21381/NPQ[IPLMARKETING]26727</t>
  </si>
  <si>
    <t>//Month6 //#S#City_Delhi//PRD-PowerSip//OPQ  27888/NPQ[IPLMARKETING]39044</t>
  </si>
  <si>
    <t>//Month6 //#S#City_Delhi//PRD-HappyGrow//OPQ  32072/NPQ[IPLMARKETING]40090</t>
  </si>
  <si>
    <t>Data Format</t>
  </si>
  <si>
    <t xml:space="preserve"> //Month//#First Letter of Region#City_City Name//PRD-Product Name//OPQ  Quantity/NPQ[IPLMARKETING]Quantity</t>
  </si>
  <si>
    <t>Example</t>
  </si>
  <si>
    <t>Month1</t>
  </si>
  <si>
    <t>Month</t>
  </si>
  <si>
    <t>N</t>
  </si>
  <si>
    <t>First Letter of Region</t>
  </si>
  <si>
    <t>Chennai</t>
  </si>
  <si>
    <t>City Name</t>
  </si>
  <si>
    <t>Product Name</t>
  </si>
  <si>
    <t>Sale quantity as per Old Plan</t>
  </si>
  <si>
    <t>Sale quantity as per New Plan</t>
  </si>
  <si>
    <t>Other Abbreviations used in Data</t>
  </si>
  <si>
    <t>Abbreviation</t>
  </si>
  <si>
    <t>Meaning</t>
  </si>
  <si>
    <t>Product</t>
  </si>
  <si>
    <t>OPQ</t>
  </si>
  <si>
    <t>Old plan Quantity</t>
  </si>
  <si>
    <t>NPQ</t>
  </si>
  <si>
    <t>New plan Quantity</t>
  </si>
  <si>
    <t>North</t>
  </si>
  <si>
    <t>E</t>
  </si>
  <si>
    <t>East</t>
  </si>
  <si>
    <t>Month2</t>
  </si>
  <si>
    <t>W</t>
  </si>
  <si>
    <t>West</t>
  </si>
  <si>
    <t>Month3</t>
  </si>
  <si>
    <t>S</t>
  </si>
  <si>
    <t>South</t>
  </si>
  <si>
    <t>Month4</t>
  </si>
  <si>
    <t>Month5</t>
  </si>
  <si>
    <t>Month6</t>
  </si>
  <si>
    <t>Month7</t>
  </si>
  <si>
    <t>July</t>
  </si>
  <si>
    <t>Month8</t>
  </si>
  <si>
    <t>August</t>
  </si>
  <si>
    <t>Month9</t>
  </si>
  <si>
    <t>September</t>
  </si>
  <si>
    <t>Month10</t>
  </si>
  <si>
    <t>October</t>
  </si>
  <si>
    <t>Month11</t>
  </si>
  <si>
    <t>November</t>
  </si>
  <si>
    <t>Month12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</si>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</sst>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[$₹]#,##0"/>
    <numFmt numFmtId="166" formatCode="&quot;$&quot;#,##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Noto Serif Georgian"/>
    </font>
    <font>
      <color theme="1"/>
      <name val="Noto Serif Georgian"/>
    </font>
    <font>
      <sz val="11.0"/>
      <color theme="1"/>
      <name val="Noto Serif Georgian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Noto Serif Georgi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9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vertical="bottom"/>
    </xf>
    <xf borderId="0" fillId="0" fontId="3" numFmtId="9" xfId="0" applyAlignment="1" applyFont="1" applyNumberFormat="1">
      <alignment readingOrder="0" vertical="bottom"/>
    </xf>
    <xf borderId="0" fillId="0" fontId="2" numFmtId="0" xfId="0" applyFont="1"/>
    <xf borderId="0" fillId="0" fontId="3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4" numFmtId="0" xfId="0" applyAlignment="1" applyFont="1">
      <alignment shrinkToFit="0" vertical="bottom" wrapText="1"/>
    </xf>
    <xf borderId="0" fillId="0" fontId="3" numFmtId="3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1" numFmtId="3" xfId="0" applyFont="1" applyNumberFormat="1"/>
    <xf borderId="0" fillId="0" fontId="5" numFmtId="3" xfId="0" applyFont="1" applyNumberFormat="1"/>
    <xf borderId="0" fillId="0" fontId="6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5" numFmtId="4" xfId="0" applyFont="1" applyNumberFormat="1"/>
    <xf borderId="0" fillId="0" fontId="1" numFmtId="4" xfId="0" applyFont="1" applyNumberFormat="1"/>
    <xf borderId="0" fillId="0" fontId="5" numFmtId="0" xfId="0" applyFont="1"/>
    <xf borderId="0" fillId="0" fontId="5" numFmtId="4" xfId="0" applyFont="1" applyNumberFormat="1"/>
    <xf borderId="0" fillId="0" fontId="1" numFmtId="4" xfId="0" applyFont="1" applyNumberFormat="1"/>
    <xf borderId="0" fillId="0" fontId="5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5" numFmtId="2" xfId="0" applyFont="1" applyNumberFormat="1"/>
    <xf borderId="0" fillId="0" fontId="1" numFmtId="3" xfId="0" applyFont="1" applyNumberFormat="1"/>
    <xf borderId="0" fillId="0" fontId="5" numFmtId="3" xfId="0" applyFont="1" applyNumberFormat="1"/>
    <xf borderId="0" fillId="0" fontId="1" numFmtId="166" xfId="0" applyFont="1" applyNumberFormat="1"/>
    <xf borderId="1" fillId="0" fontId="1" numFmtId="0" xfId="0" applyAlignment="1" applyBorder="1" applyFont="1">
      <alignment readingOrder="0"/>
    </xf>
    <xf borderId="1" fillId="0" fontId="1" numFmtId="2" xfId="0" applyAlignment="1" applyBorder="1" applyFont="1" applyNumberFormat="1">
      <alignment readingOrder="0"/>
    </xf>
    <xf borderId="0" fillId="0" fontId="6" numFmtId="2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2" numFmtId="2" xfId="0" applyAlignment="1" applyFont="1" applyNumberFormat="1">
      <alignment vertical="bottom"/>
    </xf>
    <xf borderId="0" fillId="0" fontId="1" numFmtId="2" xfId="0" applyFont="1" applyNumberFormat="1"/>
    <xf borderId="0" fillId="0" fontId="6" numFmtId="2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2" fontId="7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3" fontId="8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Sales ( in Unit)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'Cost-Benefit Analysis'!$B$1:$G$1</c:f>
            </c:strRef>
          </c:cat>
          <c:val>
            <c:numRef>
              <c:f>'Cost-Benefit Analysis'!$B$3:$G$3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'Cost-Benefit Analysis'!$B$1:$G$1</c:f>
            </c:strRef>
          </c:cat>
          <c:val>
            <c:numRef>
              <c:f>'Cost-Benefit Analysis'!$B$4:$G$4</c:f>
              <c:numCache/>
            </c:numRef>
          </c:val>
          <c:smooth val="0"/>
        </c:ser>
        <c:axId val="1930478723"/>
        <c:axId val="965085091"/>
      </c:lineChart>
      <c:catAx>
        <c:axId val="1930478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085091"/>
      </c:catAx>
      <c:valAx>
        <c:axId val="96508509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47872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 black"/>
              </a:defRPr>
            </a:pPr>
            <a:r>
              <a:rPr b="1">
                <a:solidFill>
                  <a:srgbClr val="757575"/>
                </a:solidFill>
                <a:latin typeface="Arial black"/>
              </a:rPr>
              <a:t>Month-Wise Incremental Profits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'Cost-Benefit Analysis'!$A$14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'Cost-Benefit Analysis'!$B$1:$G$1</c:f>
            </c:strRef>
          </c:cat>
          <c:val>
            <c:numRef>
              <c:f>'Cost-Benefit Analysis'!$B$14:$G$14</c:f>
              <c:numCache/>
            </c:numRef>
          </c:val>
        </c:ser>
        <c:axId val="523270057"/>
        <c:axId val="618062015"/>
      </c:barChart>
      <c:catAx>
        <c:axId val="523270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062015"/>
      </c:catAx>
      <c:valAx>
        <c:axId val="6180620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270057"/>
      </c:valAx>
    </c:plotArea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Sales ( in Unit)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'Cost-Benefit Analysis'!$B$1:$G$1</c:f>
            </c:strRef>
          </c:cat>
          <c:val>
            <c:numRef>
              <c:f>'Cost-Benefit Analysis'!$B$3:$G$3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'Cost-Benefit Analysis'!$B$1:$G$1</c:f>
            </c:strRef>
          </c:cat>
          <c:val>
            <c:numRef>
              <c:f>'Cost-Benefit Analysis'!$B$4:$G$4</c:f>
              <c:numCache/>
            </c:numRef>
          </c:val>
          <c:smooth val="0"/>
        </c:ser>
        <c:axId val="2141279660"/>
        <c:axId val="551903198"/>
      </c:lineChart>
      <c:catAx>
        <c:axId val="2141279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903198"/>
      </c:catAx>
      <c:valAx>
        <c:axId val="55190319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27966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971550</xdr:colOff>
      <xdr:row>13</xdr:row>
      <xdr:rowOff>209550</xdr:rowOff>
    </xdr:from>
    <xdr:ext cx="4991100" cy="3095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4</xdr:row>
      <xdr:rowOff>95250</xdr:rowOff>
    </xdr:from>
    <xdr:ext cx="5114925" cy="3333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781050</xdr:colOff>
      <xdr:row>4</xdr:row>
      <xdr:rowOff>95250</xdr:rowOff>
    </xdr:from>
    <xdr:ext cx="5372100" cy="3381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88"/>
    <col customWidth="1" min="4" max="4" width="13.5"/>
    <col customWidth="1" min="5" max="5" width="19.13"/>
    <col customWidth="1" min="6" max="6" width="19.63"/>
    <col customWidth="1" min="11" max="11" width="21.38"/>
    <col customWidth="1" min="12" max="12" width="17.25"/>
  </cols>
  <sheetData>
    <row r="1">
      <c r="A1" s="1" t="str">
        <f>Data!B1</f>
        <v>MONTH</v>
      </c>
      <c r="B1" s="1" t="str">
        <f>Data!C1</f>
        <v>Region</v>
      </c>
      <c r="C1" s="1" t="str">
        <f>Data!D1</f>
        <v>City</v>
      </c>
      <c r="D1" s="1" t="str">
        <f>Data!E1</f>
        <v>PRD</v>
      </c>
      <c r="E1" s="1" t="str">
        <f>Data!F1</f>
        <v>OPQ (Old plan Quantity)</v>
      </c>
      <c r="F1" s="1" t="str">
        <f>Data!G1</f>
        <v>NPQ(New plan Quantity)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1" t="str">
        <f>Data!M2</f>
        <v/>
      </c>
    </row>
    <row r="2">
      <c r="A2" s="1" t="str">
        <f>Data!B2</f>
        <v>Month1</v>
      </c>
      <c r="B2" s="1" t="str">
        <f>Data!C2</f>
        <v>N</v>
      </c>
      <c r="C2" s="1" t="str">
        <f>Data!D2</f>
        <v>Chennai</v>
      </c>
      <c r="D2" s="1" t="str">
        <f>Data!E2</f>
        <v>PowerSip</v>
      </c>
      <c r="E2" s="1" t="str">
        <f>Data!F2</f>
        <v>21497</v>
      </c>
      <c r="F2" s="1" t="str">
        <f>Data!G2</f>
        <v>22572</v>
      </c>
      <c r="G2" s="1">
        <f t="shared" ref="G2:G270" si="3">IF(D2="PowerSip", 135, IF(D2="HappyGrow", 60, ""))</f>
        <v>135</v>
      </c>
      <c r="H2" s="1">
        <f t="shared" ref="H2:H270" si="4">IF(D2="PowerSip", 140, IF(D2="HappyGrow", 70, ""))</f>
        <v>140</v>
      </c>
      <c r="I2" s="1">
        <f t="shared" ref="I2:J2" si="1">E2 * G2</f>
        <v>2902095</v>
      </c>
      <c r="J2" s="1">
        <f t="shared" si="1"/>
        <v>3160080</v>
      </c>
      <c r="K2" s="1">
        <f t="shared" ref="K2:L2" si="2">IF(E2=0, "", I2 / E2)</f>
        <v>135</v>
      </c>
      <c r="L2" s="1">
        <f t="shared" si="2"/>
        <v>140</v>
      </c>
    </row>
    <row r="3">
      <c r="A3" s="1" t="str">
        <f>Data!B3</f>
        <v>Month1</v>
      </c>
      <c r="B3" s="1" t="str">
        <f>Data!C3</f>
        <v>N</v>
      </c>
      <c r="C3" s="1" t="str">
        <f>Data!D3</f>
        <v>Chennai</v>
      </c>
      <c r="D3" s="1" t="str">
        <f>Data!E3</f>
        <v>HappyGrow</v>
      </c>
      <c r="E3" s="1" t="str">
        <f>Data!F3</f>
        <v>16650</v>
      </c>
      <c r="F3" s="1" t="str">
        <f>Data!G3</f>
        <v>16817</v>
      </c>
      <c r="G3" s="1">
        <f t="shared" si="3"/>
        <v>60</v>
      </c>
      <c r="H3" s="1">
        <f t="shared" si="4"/>
        <v>70</v>
      </c>
      <c r="I3" s="1">
        <f t="shared" ref="I3:J3" si="5">E3 * G3</f>
        <v>999000</v>
      </c>
      <c r="J3" s="1">
        <f t="shared" si="5"/>
        <v>1177190</v>
      </c>
      <c r="K3" s="1">
        <f t="shared" ref="K3:L3" si="6">IF(E3=0, "", I3 / E3)</f>
        <v>60</v>
      </c>
      <c r="L3" s="1">
        <f t="shared" si="6"/>
        <v>70</v>
      </c>
    </row>
    <row r="4">
      <c r="A4" s="1" t="str">
        <f>Data!B4</f>
        <v>Month1</v>
      </c>
      <c r="B4" s="1" t="str">
        <f>Data!C4</f>
        <v>E</v>
      </c>
      <c r="C4" s="1" t="str">
        <f>Data!D4</f>
        <v>Chennai</v>
      </c>
      <c r="D4" s="1" t="str">
        <f>Data!E4</f>
        <v>PowerSip</v>
      </c>
      <c r="E4" s="1" t="str">
        <f>Data!F4</f>
        <v>11470</v>
      </c>
      <c r="F4" s="1" t="str">
        <f>Data!G4</f>
        <v>12044</v>
      </c>
      <c r="G4" s="1">
        <f t="shared" si="3"/>
        <v>135</v>
      </c>
      <c r="H4" s="1">
        <f t="shared" si="4"/>
        <v>140</v>
      </c>
      <c r="I4" s="1">
        <f t="shared" ref="I4:J4" si="7">E4 * G4</f>
        <v>1548450</v>
      </c>
      <c r="J4" s="1">
        <f t="shared" si="7"/>
        <v>1686160</v>
      </c>
      <c r="K4" s="1">
        <f t="shared" ref="K4:L4" si="8">IF(E4=0, "", I4 / E4)</f>
        <v>135</v>
      </c>
      <c r="L4" s="1">
        <f t="shared" si="8"/>
        <v>140</v>
      </c>
    </row>
    <row r="5">
      <c r="A5" s="1" t="str">
        <f>Data!B5</f>
        <v>Month1</v>
      </c>
      <c r="B5" s="1" t="str">
        <f>Data!C5</f>
        <v>E</v>
      </c>
      <c r="C5" s="1" t="str">
        <f>Data!D5</f>
        <v>Chennai</v>
      </c>
      <c r="D5" s="1" t="str">
        <f>Data!E5</f>
        <v>HappyGrow</v>
      </c>
      <c r="E5" s="1" t="str">
        <f>Data!F5</f>
        <v>22348</v>
      </c>
      <c r="F5" s="1" t="str">
        <f>Data!G5</f>
        <v>22572</v>
      </c>
      <c r="G5" s="1">
        <f t="shared" si="3"/>
        <v>60</v>
      </c>
      <c r="H5" s="1">
        <f t="shared" si="4"/>
        <v>70</v>
      </c>
      <c r="I5" s="1">
        <f t="shared" ref="I5:J5" si="9">E5 * G5</f>
        <v>1340880</v>
      </c>
      <c r="J5" s="1">
        <f t="shared" si="9"/>
        <v>1580040</v>
      </c>
      <c r="K5" s="1">
        <f t="shared" ref="K5:L5" si="10">IF(E5=0, "", I5 / E5)</f>
        <v>60</v>
      </c>
      <c r="L5" s="1">
        <f t="shared" si="10"/>
        <v>70</v>
      </c>
    </row>
    <row r="6">
      <c r="A6" s="1" t="str">
        <f>Data!B6</f>
        <v>Month1</v>
      </c>
      <c r="B6" s="1" t="str">
        <f>Data!C6</f>
        <v>W</v>
      </c>
      <c r="C6" s="1" t="str">
        <f>Data!D6</f>
        <v>Chennai</v>
      </c>
      <c r="D6" s="1" t="str">
        <f>Data!E6</f>
        <v>PowerSip</v>
      </c>
      <c r="E6" s="1" t="str">
        <f>Data!F6</f>
        <v>13727</v>
      </c>
      <c r="F6" s="1" t="str">
        <f>Data!G6</f>
        <v>14551</v>
      </c>
      <c r="G6" s="1">
        <f t="shared" si="3"/>
        <v>135</v>
      </c>
      <c r="H6" s="1">
        <f t="shared" si="4"/>
        <v>140</v>
      </c>
      <c r="I6" s="1">
        <f t="shared" ref="I6:J6" si="11">E6 * G6</f>
        <v>1853145</v>
      </c>
      <c r="J6" s="1">
        <f t="shared" si="11"/>
        <v>2037140</v>
      </c>
      <c r="K6" s="1">
        <f t="shared" ref="K6:L6" si="12">IF(E6=0, "", I6 / E6)</f>
        <v>135</v>
      </c>
      <c r="L6" s="1">
        <f t="shared" si="12"/>
        <v>140</v>
      </c>
    </row>
    <row r="7">
      <c r="A7" s="1" t="str">
        <f>Data!B7</f>
        <v>Month1</v>
      </c>
      <c r="B7" s="1" t="str">
        <f>Data!C7</f>
        <v>W</v>
      </c>
      <c r="C7" s="1" t="str">
        <f>Data!D7</f>
        <v>Chennai</v>
      </c>
      <c r="D7" s="1" t="str">
        <f>Data!E7</f>
        <v>HappyGrow</v>
      </c>
      <c r="E7" s="1" t="str">
        <f>Data!F7</f>
        <v>15799</v>
      </c>
      <c r="F7" s="1" t="str">
        <f>Data!G7</f>
        <v>15957</v>
      </c>
      <c r="G7" s="1">
        <f t="shared" si="3"/>
        <v>60</v>
      </c>
      <c r="H7" s="1">
        <f t="shared" si="4"/>
        <v>70</v>
      </c>
      <c r="I7" s="1">
        <f t="shared" ref="I7:J7" si="13">E7 * G7</f>
        <v>947940</v>
      </c>
      <c r="J7" s="1">
        <f t="shared" si="13"/>
        <v>1116990</v>
      </c>
      <c r="K7" s="1">
        <f t="shared" ref="K7:L7" si="14">IF(E7=0, "", I7 / E7)</f>
        <v>60</v>
      </c>
      <c r="L7" s="1">
        <f t="shared" si="14"/>
        <v>70</v>
      </c>
    </row>
    <row r="8">
      <c r="A8" s="1" t="str">
        <f>Data!B8</f>
        <v>Month1</v>
      </c>
      <c r="B8" s="1" t="str">
        <f>Data!C8</f>
        <v>S</v>
      </c>
      <c r="C8" s="1" t="str">
        <f>Data!D8</f>
        <v>Chennai</v>
      </c>
      <c r="D8" s="1" t="str">
        <f>Data!E8</f>
        <v>PowerSip</v>
      </c>
      <c r="E8" s="1" t="str">
        <f>Data!F8</f>
        <v>24827</v>
      </c>
      <c r="F8" s="1" t="str">
        <f>Data!G8</f>
        <v>26565</v>
      </c>
      <c r="G8" s="1">
        <f t="shared" si="3"/>
        <v>135</v>
      </c>
      <c r="H8" s="1">
        <f t="shared" si="4"/>
        <v>140</v>
      </c>
      <c r="I8" s="1">
        <f t="shared" ref="I8:K8" si="15">E8 * G8</f>
        <v>3351645</v>
      </c>
      <c r="J8" s="1">
        <f t="shared" si="15"/>
        <v>3719100</v>
      </c>
      <c r="K8" s="1">
        <f t="shared" si="15"/>
        <v>452472075</v>
      </c>
      <c r="L8" s="1">
        <f>IF(F8=0, "", J8 / F8)</f>
        <v>140</v>
      </c>
    </row>
    <row r="9">
      <c r="A9" s="1" t="str">
        <f>Data!B9</f>
        <v>Month1</v>
      </c>
      <c r="B9" s="1" t="str">
        <f>Data!C9</f>
        <v>S</v>
      </c>
      <c r="C9" s="1" t="str">
        <f>Data!D9</f>
        <v>Chennai</v>
      </c>
      <c r="D9" s="1" t="str">
        <f>Data!E9</f>
        <v>HappyGrow</v>
      </c>
      <c r="E9" s="1" t="str">
        <f>Data!F9</f>
        <v>13468</v>
      </c>
      <c r="F9" s="1" t="str">
        <f>Data!G9</f>
        <v>13603</v>
      </c>
      <c r="G9" s="1">
        <f t="shared" si="3"/>
        <v>60</v>
      </c>
      <c r="H9" s="1">
        <f t="shared" si="4"/>
        <v>70</v>
      </c>
      <c r="I9" s="1">
        <f t="shared" ref="I9:J9" si="16">E9 * G9</f>
        <v>808080</v>
      </c>
      <c r="J9" s="1">
        <f t="shared" si="16"/>
        <v>952210</v>
      </c>
      <c r="K9" s="1">
        <f t="shared" ref="K9:L9" si="17">IF(E9=0, "", I9 / E9)</f>
        <v>60</v>
      </c>
      <c r="L9" s="1">
        <f t="shared" si="17"/>
        <v>70</v>
      </c>
    </row>
    <row r="10">
      <c r="A10" s="1" t="str">
        <f>Data!B10</f>
        <v>Month1</v>
      </c>
      <c r="B10" s="1" t="str">
        <f>Data!C10</f>
        <v>N</v>
      </c>
      <c r="C10" s="1" t="str">
        <f>Data!D10</f>
        <v>Mumbai</v>
      </c>
      <c r="D10" s="1" t="str">
        <f>Data!E10</f>
        <v>PowerSip</v>
      </c>
      <c r="E10" s="1" t="str">
        <f>Data!F10</f>
        <v>22237</v>
      </c>
      <c r="F10" s="1" t="str">
        <f>Data!G10</f>
        <v>23794</v>
      </c>
      <c r="G10" s="1">
        <f t="shared" si="3"/>
        <v>135</v>
      </c>
      <c r="H10" s="1">
        <f t="shared" si="4"/>
        <v>140</v>
      </c>
      <c r="I10" s="1">
        <f t="shared" ref="I10:J10" si="18">E10 * G10</f>
        <v>3001995</v>
      </c>
      <c r="J10" s="1">
        <f t="shared" si="18"/>
        <v>3331160</v>
      </c>
      <c r="K10" s="1">
        <f t="shared" ref="K10:L10" si="19">IF(E10=0, "", I10 / E10)</f>
        <v>135</v>
      </c>
      <c r="L10" s="1">
        <f t="shared" si="19"/>
        <v>140</v>
      </c>
    </row>
    <row r="11">
      <c r="A11" s="1" t="str">
        <f>Data!B11</f>
        <v>Month1</v>
      </c>
      <c r="B11" s="1" t="str">
        <f>Data!C11</f>
        <v>N</v>
      </c>
      <c r="C11" s="1" t="str">
        <f>Data!D11</f>
        <v>Mumbai</v>
      </c>
      <c r="D11" s="1" t="str">
        <f>Data!E11</f>
        <v>HappyGrow</v>
      </c>
      <c r="E11" s="1" t="str">
        <f>Data!F11</f>
        <v>23421</v>
      </c>
      <c r="F11" s="1" t="str">
        <f>Data!G11</f>
        <v>23656</v>
      </c>
      <c r="G11" s="1">
        <f t="shared" si="3"/>
        <v>60</v>
      </c>
      <c r="H11" s="1">
        <f t="shared" si="4"/>
        <v>70</v>
      </c>
      <c r="I11" s="1">
        <f t="shared" ref="I11:J11" si="20">E11 * G11</f>
        <v>1405260</v>
      </c>
      <c r="J11" s="1">
        <f t="shared" si="20"/>
        <v>1655920</v>
      </c>
      <c r="K11" s="1">
        <f t="shared" ref="K11:L11" si="21">IF(E11=0, "", I11 / E11)</f>
        <v>60</v>
      </c>
      <c r="L11" s="1">
        <f t="shared" si="21"/>
        <v>70</v>
      </c>
    </row>
    <row r="12">
      <c r="A12" s="1" t="str">
        <f>Data!B12</f>
        <v>Month1</v>
      </c>
      <c r="B12" s="1" t="str">
        <f>Data!C12</f>
        <v>E</v>
      </c>
      <c r="C12" s="1" t="str">
        <f>Data!D12</f>
        <v>Mumbai</v>
      </c>
      <c r="D12" s="1" t="str">
        <f>Data!E12</f>
        <v>PowerSip</v>
      </c>
      <c r="E12" s="1" t="str">
        <f>Data!F12</f>
        <v>12469</v>
      </c>
      <c r="F12" s="1" t="str">
        <f>Data!G12</f>
        <v>13467</v>
      </c>
      <c r="G12" s="1">
        <f t="shared" si="3"/>
        <v>135</v>
      </c>
      <c r="H12" s="1">
        <f t="shared" si="4"/>
        <v>140</v>
      </c>
      <c r="I12" s="1">
        <f t="shared" ref="I12:J12" si="22">E12 * G12</f>
        <v>1683315</v>
      </c>
      <c r="J12" s="1">
        <f t="shared" si="22"/>
        <v>1885380</v>
      </c>
      <c r="K12" s="1">
        <f t="shared" ref="K12:L12" si="23">IF(E12=0, "", I12 / E12)</f>
        <v>135</v>
      </c>
      <c r="L12" s="1">
        <f t="shared" si="23"/>
        <v>140</v>
      </c>
    </row>
    <row r="13">
      <c r="A13" s="1" t="str">
        <f>Data!B13</f>
        <v>Month1</v>
      </c>
      <c r="B13" s="1" t="str">
        <f>Data!C13</f>
        <v>E</v>
      </c>
      <c r="C13" s="1" t="str">
        <f>Data!D13</f>
        <v>Mumbai</v>
      </c>
      <c r="D13" s="1" t="str">
        <f>Data!E13</f>
        <v>HappyGrow</v>
      </c>
      <c r="E13" s="1" t="str">
        <f>Data!F13</f>
        <v>16354</v>
      </c>
      <c r="F13" s="1" t="str">
        <f>Data!G13</f>
        <v>16518</v>
      </c>
      <c r="G13" s="1">
        <f t="shared" si="3"/>
        <v>60</v>
      </c>
      <c r="H13" s="1">
        <f t="shared" si="4"/>
        <v>70</v>
      </c>
      <c r="I13" s="1">
        <f t="shared" ref="I13:J13" si="24">E13 * G13</f>
        <v>981240</v>
      </c>
      <c r="J13" s="1">
        <f t="shared" si="24"/>
        <v>1156260</v>
      </c>
      <c r="K13" s="1">
        <f t="shared" ref="K13:L13" si="25">IF(E13=0, "", I13 / E13)</f>
        <v>60</v>
      </c>
      <c r="L13" s="1">
        <f t="shared" si="25"/>
        <v>70</v>
      </c>
    </row>
    <row r="14">
      <c r="A14" s="1" t="str">
        <f>Data!B14</f>
        <v>Month1</v>
      </c>
      <c r="B14" s="1" t="str">
        <f>Data!C14</f>
        <v>W</v>
      </c>
      <c r="C14" s="1" t="str">
        <f>Data!D14</f>
        <v>Mumbai</v>
      </c>
      <c r="D14" s="1" t="str">
        <f>Data!E14</f>
        <v>PowerSip</v>
      </c>
      <c r="E14" s="1" t="str">
        <f>Data!F14</f>
        <v>19536</v>
      </c>
      <c r="F14" s="1" t="str">
        <f>Data!G14</f>
        <v>21099</v>
      </c>
      <c r="G14" s="1">
        <f t="shared" si="3"/>
        <v>135</v>
      </c>
      <c r="H14" s="1">
        <f t="shared" si="4"/>
        <v>140</v>
      </c>
      <c r="I14" s="1">
        <f t="shared" ref="I14:J14" si="26">E14 * G14</f>
        <v>2637360</v>
      </c>
      <c r="J14" s="1">
        <f t="shared" si="26"/>
        <v>2953860</v>
      </c>
      <c r="K14" s="1">
        <f t="shared" ref="K14:L14" si="27">IF(E14=0, "", I14 / E14)</f>
        <v>135</v>
      </c>
      <c r="L14" s="1">
        <f t="shared" si="27"/>
        <v>140</v>
      </c>
    </row>
    <row r="15">
      <c r="A15" s="1" t="str">
        <f>Data!B15</f>
        <v>Month1</v>
      </c>
      <c r="B15" s="1" t="str">
        <f>Data!C15</f>
        <v>W</v>
      </c>
      <c r="C15" s="1" t="str">
        <f>Data!D15</f>
        <v>Mumbai</v>
      </c>
      <c r="D15" s="1" t="str">
        <f>Data!E15</f>
        <v>HappyGrow</v>
      </c>
      <c r="E15" s="1" t="str">
        <f>Data!F15</f>
        <v>11359</v>
      </c>
      <c r="F15" s="1" t="str">
        <f>Data!G15</f>
        <v>11587</v>
      </c>
      <c r="G15" s="1">
        <f t="shared" si="3"/>
        <v>60</v>
      </c>
      <c r="H15" s="1">
        <f t="shared" si="4"/>
        <v>70</v>
      </c>
      <c r="I15" s="1">
        <f t="shared" ref="I15:J15" si="28">E15 * G15</f>
        <v>681540</v>
      </c>
      <c r="J15" s="1">
        <f t="shared" si="28"/>
        <v>811090</v>
      </c>
      <c r="K15" s="1">
        <f t="shared" ref="K15:L15" si="29">IF(E15=0, "", I15 / E15)</f>
        <v>60</v>
      </c>
      <c r="L15" s="1">
        <f t="shared" si="29"/>
        <v>70</v>
      </c>
    </row>
    <row r="16">
      <c r="A16" s="1" t="str">
        <f>Data!B16</f>
        <v>Month1</v>
      </c>
      <c r="B16" s="1" t="str">
        <f>Data!C16</f>
        <v>S</v>
      </c>
      <c r="C16" s="1" t="str">
        <f>Data!D16</f>
        <v>Mumbai</v>
      </c>
      <c r="D16" s="1" t="str">
        <f>Data!E16</f>
        <v>PowerSip</v>
      </c>
      <c r="E16" s="1" t="str">
        <f>Data!F16</f>
        <v>12062</v>
      </c>
      <c r="F16" s="1" t="str">
        <f>Data!G16</f>
        <v>13148</v>
      </c>
      <c r="G16" s="1">
        <f t="shared" si="3"/>
        <v>135</v>
      </c>
      <c r="H16" s="1">
        <f t="shared" si="4"/>
        <v>140</v>
      </c>
      <c r="I16" s="1">
        <f t="shared" ref="I16:J16" si="30">E16 * G16</f>
        <v>1628370</v>
      </c>
      <c r="J16" s="1">
        <f t="shared" si="30"/>
        <v>1840720</v>
      </c>
      <c r="K16" s="1">
        <f t="shared" ref="K16:L16" si="31">IF(E16=0, "", I16 / E16)</f>
        <v>135</v>
      </c>
      <c r="L16" s="1">
        <f t="shared" si="31"/>
        <v>140</v>
      </c>
    </row>
    <row r="17">
      <c r="A17" s="1" t="str">
        <f>Data!B17</f>
        <v>Month1</v>
      </c>
      <c r="B17" s="1" t="str">
        <f>Data!C17</f>
        <v>S</v>
      </c>
      <c r="C17" s="1" t="str">
        <f>Data!D17</f>
        <v>Mumbai</v>
      </c>
      <c r="D17" s="1" t="str">
        <f>Data!E17</f>
        <v>HappyGrow</v>
      </c>
      <c r="E17" s="1" t="str">
        <f>Data!F17</f>
        <v>13579</v>
      </c>
      <c r="F17" s="1" t="str">
        <f>Data!G17</f>
        <v>13851</v>
      </c>
      <c r="G17" s="1">
        <f t="shared" si="3"/>
        <v>60</v>
      </c>
      <c r="H17" s="1">
        <f t="shared" si="4"/>
        <v>70</v>
      </c>
      <c r="I17" s="1">
        <f t="shared" ref="I17:J17" si="32">E17 * G17</f>
        <v>814740</v>
      </c>
      <c r="J17" s="1">
        <f t="shared" si="32"/>
        <v>969570</v>
      </c>
      <c r="K17" s="1">
        <f t="shared" ref="K17:L17" si="33">IF(E17=0, "", I17 / E17)</f>
        <v>60</v>
      </c>
      <c r="L17" s="1">
        <f t="shared" si="33"/>
        <v>70</v>
      </c>
    </row>
    <row r="18">
      <c r="A18" s="1" t="str">
        <f>Data!B18</f>
        <v>Month1</v>
      </c>
      <c r="B18" s="1" t="str">
        <f>Data!C18</f>
        <v>N</v>
      </c>
      <c r="C18" s="1" t="str">
        <f>Data!D18</f>
        <v>Bengaluru</v>
      </c>
      <c r="D18" s="1" t="str">
        <f>Data!E18</f>
        <v>PowerSip</v>
      </c>
      <c r="E18" s="1" t="str">
        <f>Data!F18</f>
        <v>21275</v>
      </c>
      <c r="F18" s="1" t="str">
        <f>Data!G18</f>
        <v>23190</v>
      </c>
      <c r="G18" s="1">
        <f t="shared" si="3"/>
        <v>135</v>
      </c>
      <c r="H18" s="1">
        <f t="shared" si="4"/>
        <v>140</v>
      </c>
      <c r="I18" s="1">
        <f t="shared" ref="I18:J18" si="34">E18 * G18</f>
        <v>2872125</v>
      </c>
      <c r="J18" s="1">
        <f t="shared" si="34"/>
        <v>3246600</v>
      </c>
      <c r="K18" s="1">
        <f t="shared" ref="K18:L18" si="35">IF(E18=0, "", I18 / E18)</f>
        <v>135</v>
      </c>
      <c r="L18" s="1">
        <f t="shared" si="35"/>
        <v>140</v>
      </c>
    </row>
    <row r="19">
      <c r="A19" s="1" t="str">
        <f>Data!B19</f>
        <v>Month1</v>
      </c>
      <c r="B19" s="1" t="str">
        <f>Data!C19</f>
        <v>N</v>
      </c>
      <c r="C19" s="1" t="str">
        <f>Data!D19</f>
        <v>Bengaluru</v>
      </c>
      <c r="D19" s="1" t="str">
        <f>Data!E19</f>
        <v>HappyGrow</v>
      </c>
      <c r="E19" s="1" t="str">
        <f>Data!F19</f>
        <v>18611</v>
      </c>
      <c r="F19" s="1" t="str">
        <f>Data!G19</f>
        <v>18984</v>
      </c>
      <c r="G19" s="1">
        <f t="shared" si="3"/>
        <v>60</v>
      </c>
      <c r="H19" s="1">
        <f t="shared" si="4"/>
        <v>70</v>
      </c>
      <c r="I19" s="1">
        <f t="shared" ref="I19:J19" si="36">E19 * G19</f>
        <v>1116660</v>
      </c>
      <c r="J19" s="1">
        <f t="shared" si="36"/>
        <v>1328880</v>
      </c>
      <c r="K19" s="1">
        <f t="shared" ref="K19:L19" si="37">IF(E19=0, "", I19 / E19)</f>
        <v>60</v>
      </c>
      <c r="L19" s="1">
        <f t="shared" si="37"/>
        <v>70</v>
      </c>
    </row>
    <row r="20">
      <c r="A20" s="1" t="str">
        <f>Data!B20</f>
        <v>Month1</v>
      </c>
      <c r="B20" s="1" t="str">
        <f>Data!C20</f>
        <v>E</v>
      </c>
      <c r="C20" s="1" t="str">
        <f>Data!D20</f>
        <v>Bengaluru</v>
      </c>
      <c r="D20" s="1" t="str">
        <f>Data!E20</f>
        <v>PowerSip</v>
      </c>
      <c r="E20" s="1" t="str">
        <f>Data!F20</f>
        <v>24050</v>
      </c>
      <c r="F20" s="1" t="str">
        <f>Data!G20</f>
        <v>26215</v>
      </c>
      <c r="G20" s="1">
        <f t="shared" si="3"/>
        <v>135</v>
      </c>
      <c r="H20" s="1">
        <f t="shared" si="4"/>
        <v>140</v>
      </c>
      <c r="I20" s="1">
        <f t="shared" ref="I20:J20" si="38">E20 * G20</f>
        <v>3246750</v>
      </c>
      <c r="J20" s="1">
        <f t="shared" si="38"/>
        <v>3670100</v>
      </c>
      <c r="K20" s="1">
        <f t="shared" ref="K20:L20" si="39">IF(E20=0, "", I20 / E20)</f>
        <v>135</v>
      </c>
      <c r="L20" s="1">
        <f t="shared" si="39"/>
        <v>140</v>
      </c>
    </row>
    <row r="21">
      <c r="A21" s="1" t="str">
        <f>Data!B21</f>
        <v>Month1</v>
      </c>
      <c r="B21" s="1" t="str">
        <f>Data!C21</f>
        <v>E</v>
      </c>
      <c r="C21" s="1" t="str">
        <f>Data!D21</f>
        <v>Bengaluru</v>
      </c>
      <c r="D21" s="1" t="str">
        <f>Data!E21</f>
        <v>HappyGrow</v>
      </c>
      <c r="E21" s="1" t="str">
        <f>Data!F21</f>
        <v>15133</v>
      </c>
      <c r="F21" s="1" t="str">
        <f>Data!G21</f>
        <v>15436</v>
      </c>
      <c r="G21" s="1">
        <f t="shared" si="3"/>
        <v>60</v>
      </c>
      <c r="H21" s="1">
        <f t="shared" si="4"/>
        <v>70</v>
      </c>
      <c r="I21" s="1">
        <f t="shared" ref="I21:J21" si="40">E21 * G21</f>
        <v>907980</v>
      </c>
      <c r="J21" s="1">
        <f t="shared" si="40"/>
        <v>1080520</v>
      </c>
      <c r="K21" s="1">
        <f t="shared" ref="K21:L21" si="41">IF(E21=0, "", I21 / E21)</f>
        <v>60</v>
      </c>
      <c r="L21" s="1">
        <f t="shared" si="41"/>
        <v>70</v>
      </c>
    </row>
    <row r="22">
      <c r="A22" s="1" t="str">
        <f>Data!B22</f>
        <v>Month1</v>
      </c>
      <c r="B22" s="1" t="str">
        <f>Data!C22</f>
        <v>W</v>
      </c>
      <c r="C22" s="1" t="str">
        <f>Data!D22</f>
        <v>Bengaluru</v>
      </c>
      <c r="D22" s="1" t="str">
        <f>Data!E22</f>
        <v>PowerSip</v>
      </c>
      <c r="E22" s="1" t="str">
        <f>Data!F22</f>
        <v>17834</v>
      </c>
      <c r="F22" s="1" t="str">
        <f>Data!G22</f>
        <v>19618</v>
      </c>
      <c r="G22" s="1">
        <f t="shared" si="3"/>
        <v>135</v>
      </c>
      <c r="H22" s="1">
        <f t="shared" si="4"/>
        <v>140</v>
      </c>
      <c r="I22" s="1">
        <f t="shared" ref="I22:J22" si="42">E22 * G22</f>
        <v>2407590</v>
      </c>
      <c r="J22" s="1">
        <f t="shared" si="42"/>
        <v>2746520</v>
      </c>
      <c r="K22" s="1">
        <f t="shared" ref="K22:L22" si="43">IF(E22=0, "", I22 / E22)</f>
        <v>135</v>
      </c>
      <c r="L22" s="1">
        <f t="shared" si="43"/>
        <v>140</v>
      </c>
    </row>
    <row r="23">
      <c r="A23" s="1" t="str">
        <f>Data!B23</f>
        <v>Month1</v>
      </c>
      <c r="B23" s="1" t="str">
        <f>Data!C23</f>
        <v>W</v>
      </c>
      <c r="C23" s="1" t="str">
        <f>Data!D23</f>
        <v>Bengaluru</v>
      </c>
      <c r="D23" s="1" t="str">
        <f>Data!E23</f>
        <v>HappyGrow</v>
      </c>
      <c r="E23" s="1" t="str">
        <f>Data!F23</f>
        <v>14097</v>
      </c>
      <c r="F23" s="1" t="str">
        <f>Data!G23</f>
        <v>14520</v>
      </c>
      <c r="G23" s="1">
        <f t="shared" si="3"/>
        <v>60</v>
      </c>
      <c r="H23" s="1">
        <f t="shared" si="4"/>
        <v>70</v>
      </c>
      <c r="I23" s="1">
        <f t="shared" ref="I23:J23" si="44">E23 * G23</f>
        <v>845820</v>
      </c>
      <c r="J23" s="1">
        <f t="shared" si="44"/>
        <v>1016400</v>
      </c>
      <c r="K23" s="1">
        <f t="shared" ref="K23:L23" si="45">IF(E23=0, "", I23 / E23)</f>
        <v>60</v>
      </c>
      <c r="L23" s="1">
        <f t="shared" si="45"/>
        <v>70</v>
      </c>
    </row>
    <row r="24">
      <c r="A24" s="1" t="str">
        <f>Data!B24</f>
        <v>Month1</v>
      </c>
      <c r="B24" s="1" t="str">
        <f>Data!C24</f>
        <v>S</v>
      </c>
      <c r="C24" s="1" t="str">
        <f>Data!D24</f>
        <v>Bengaluru</v>
      </c>
      <c r="D24" s="1" t="str">
        <f>Data!E24</f>
        <v>PowerSip</v>
      </c>
      <c r="E24" s="1" t="str">
        <f>Data!F24</f>
        <v>24642</v>
      </c>
      <c r="F24" s="1" t="str">
        <f>Data!G24</f>
        <v>27353</v>
      </c>
      <c r="G24" s="1">
        <f t="shared" si="3"/>
        <v>135</v>
      </c>
      <c r="H24" s="1">
        <f t="shared" si="4"/>
        <v>140</v>
      </c>
      <c r="I24" s="1">
        <f t="shared" ref="I24:J24" si="46">E24 * G24</f>
        <v>3326670</v>
      </c>
      <c r="J24" s="1">
        <f t="shared" si="46"/>
        <v>3829420</v>
      </c>
      <c r="K24" s="1">
        <f t="shared" ref="K24:L24" si="47">IF(E24=0, "", I24 / E24)</f>
        <v>135</v>
      </c>
      <c r="L24" s="1">
        <f t="shared" si="47"/>
        <v>140</v>
      </c>
    </row>
    <row r="25">
      <c r="A25" s="1" t="str">
        <f>Data!B25</f>
        <v>Month1</v>
      </c>
      <c r="B25" s="1" t="str">
        <f>Data!C25</f>
        <v>S</v>
      </c>
      <c r="C25" s="1" t="str">
        <f>Data!D25</f>
        <v>Bengaluru</v>
      </c>
      <c r="D25" s="1" t="str">
        <f>Data!E25</f>
        <v>HappyGrow</v>
      </c>
      <c r="E25" s="1" t="str">
        <f>Data!F25</f>
        <v>24864</v>
      </c>
      <c r="F25" s="1" t="str">
        <f>Data!G25</f>
        <v>25610</v>
      </c>
      <c r="G25" s="1">
        <f t="shared" si="3"/>
        <v>60</v>
      </c>
      <c r="H25" s="1">
        <f t="shared" si="4"/>
        <v>70</v>
      </c>
      <c r="I25" s="1">
        <f t="shared" ref="I25:J25" si="48">E25 * G25</f>
        <v>1491840</v>
      </c>
      <c r="J25" s="1">
        <f t="shared" si="48"/>
        <v>1792700</v>
      </c>
      <c r="K25" s="1">
        <f t="shared" ref="K25:L25" si="49">IF(E25=0, "", I25 / E25)</f>
        <v>60</v>
      </c>
      <c r="L25" s="1">
        <f t="shared" si="49"/>
        <v>70</v>
      </c>
    </row>
    <row r="26">
      <c r="A26" s="1" t="str">
        <f>Data!B26</f>
        <v>Month1</v>
      </c>
      <c r="B26" s="1" t="str">
        <f>Data!C26</f>
        <v>N</v>
      </c>
      <c r="C26" s="1" t="str">
        <f>Data!D26</f>
        <v>Delhi</v>
      </c>
      <c r="D26" s="1" t="str">
        <f>Data!E26</f>
        <v>PowerSip</v>
      </c>
      <c r="E26" s="1" t="str">
        <f>Data!F26</f>
        <v>19832</v>
      </c>
      <c r="F26" s="1" t="str">
        <f>Data!G26</f>
        <v>22212</v>
      </c>
      <c r="G26" s="1">
        <f t="shared" si="3"/>
        <v>135</v>
      </c>
      <c r="H26" s="1">
        <f t="shared" si="4"/>
        <v>140</v>
      </c>
      <c r="I26" s="1">
        <f t="shared" ref="I26:J26" si="50">E26 * G26</f>
        <v>2677320</v>
      </c>
      <c r="J26" s="1">
        <f t="shared" si="50"/>
        <v>3109680</v>
      </c>
      <c r="K26" s="1">
        <f t="shared" ref="K26:L26" si="51">IF(E26=0, "", I26 / E26)</f>
        <v>135</v>
      </c>
      <c r="L26" s="1">
        <f t="shared" si="51"/>
        <v>140</v>
      </c>
    </row>
    <row r="27">
      <c r="A27" s="1" t="str">
        <f>Data!B27</f>
        <v>Month1</v>
      </c>
      <c r="B27" s="1" t="str">
        <f>Data!C27</f>
        <v>N</v>
      </c>
      <c r="C27" s="1" t="str">
        <f>Data!D27</f>
        <v>Delhi</v>
      </c>
      <c r="D27" s="1" t="str">
        <f>Data!E27</f>
        <v>HappyGrow</v>
      </c>
      <c r="E27" s="1" t="str">
        <f>Data!F27</f>
        <v>12321</v>
      </c>
      <c r="F27" s="1" t="str">
        <f>Data!G27</f>
        <v>12691</v>
      </c>
      <c r="G27" s="1">
        <f t="shared" si="3"/>
        <v>60</v>
      </c>
      <c r="H27" s="1">
        <f t="shared" si="4"/>
        <v>70</v>
      </c>
      <c r="I27" s="1">
        <f t="shared" ref="I27:J27" si="52">E27 * G27</f>
        <v>739260</v>
      </c>
      <c r="J27" s="1">
        <f t="shared" si="52"/>
        <v>888370</v>
      </c>
      <c r="K27" s="1">
        <f t="shared" ref="K27:L27" si="53">IF(E27=0, "", I27 / E27)</f>
        <v>60</v>
      </c>
      <c r="L27" s="1">
        <f t="shared" si="53"/>
        <v>70</v>
      </c>
    </row>
    <row r="28">
      <c r="A28" s="1" t="str">
        <f>Data!B28</f>
        <v>Month1</v>
      </c>
      <c r="B28" s="1" t="str">
        <f>Data!C28</f>
        <v>E</v>
      </c>
      <c r="C28" s="1" t="str">
        <f>Data!D28</f>
        <v>Delhi</v>
      </c>
      <c r="D28" s="1" t="str">
        <f>Data!E28</f>
        <v>PowerSip</v>
      </c>
      <c r="E28" s="1" t="str">
        <f>Data!F28</f>
        <v>21571</v>
      </c>
      <c r="F28" s="1" t="str">
        <f>Data!G28</f>
        <v>24160</v>
      </c>
      <c r="G28" s="1">
        <f t="shared" si="3"/>
        <v>135</v>
      </c>
      <c r="H28" s="1">
        <f t="shared" si="4"/>
        <v>140</v>
      </c>
      <c r="I28" s="1">
        <f t="shared" ref="I28:J28" si="54">E28 * G28</f>
        <v>2912085</v>
      </c>
      <c r="J28" s="1">
        <f t="shared" si="54"/>
        <v>3382400</v>
      </c>
      <c r="K28" s="1">
        <f t="shared" ref="K28:L28" si="55">IF(E28=0, "", I28 / E28)</f>
        <v>135</v>
      </c>
      <c r="L28" s="1">
        <f t="shared" si="55"/>
        <v>140</v>
      </c>
    </row>
    <row r="29">
      <c r="A29" s="1" t="str">
        <f>Data!B29</f>
        <v>Month1</v>
      </c>
      <c r="B29" s="1" t="str">
        <f>Data!C29</f>
        <v>E</v>
      </c>
      <c r="C29" s="1" t="str">
        <f>Data!D29</f>
        <v>Delhi</v>
      </c>
      <c r="D29" s="1" t="str">
        <f>Data!E29</f>
        <v>HappyGrow</v>
      </c>
      <c r="E29" s="1" t="str">
        <f>Data!F29</f>
        <v>13320</v>
      </c>
      <c r="F29" s="1" t="str">
        <f>Data!G29</f>
        <v>13853</v>
      </c>
      <c r="G29" s="1">
        <f t="shared" si="3"/>
        <v>60</v>
      </c>
      <c r="H29" s="1">
        <f t="shared" si="4"/>
        <v>70</v>
      </c>
      <c r="I29" s="1">
        <f t="shared" ref="I29:J29" si="56">E29 * G29</f>
        <v>799200</v>
      </c>
      <c r="J29" s="1">
        <f t="shared" si="56"/>
        <v>969710</v>
      </c>
      <c r="K29" s="1">
        <f t="shared" ref="K29:L29" si="57">IF(E29=0, "", I29 / E29)</f>
        <v>60</v>
      </c>
      <c r="L29" s="1">
        <f t="shared" si="57"/>
        <v>70</v>
      </c>
    </row>
    <row r="30">
      <c r="A30" s="1" t="str">
        <f>Data!B30</f>
        <v>Month1</v>
      </c>
      <c r="B30" s="1" t="str">
        <f>Data!C30</f>
        <v>W</v>
      </c>
      <c r="C30" s="1" t="str">
        <f>Data!D30</f>
        <v>Delhi</v>
      </c>
      <c r="D30" s="1" t="str">
        <f>Data!E30</f>
        <v>PowerSip</v>
      </c>
      <c r="E30" s="1" t="str">
        <f>Data!F30</f>
        <v>20091</v>
      </c>
      <c r="F30" s="1" t="str">
        <f>Data!G30</f>
        <v>22502</v>
      </c>
      <c r="G30" s="1">
        <f t="shared" si="3"/>
        <v>135</v>
      </c>
      <c r="H30" s="1">
        <f t="shared" si="4"/>
        <v>140</v>
      </c>
      <c r="I30" s="1">
        <f t="shared" ref="I30:J30" si="58">E30 * G30</f>
        <v>2712285</v>
      </c>
      <c r="J30" s="1">
        <f t="shared" si="58"/>
        <v>3150280</v>
      </c>
      <c r="K30" s="1">
        <f t="shared" ref="K30:L30" si="59">IF(E30=0, "", I30 / E30)</f>
        <v>135</v>
      </c>
      <c r="L30" s="1">
        <f t="shared" si="59"/>
        <v>140</v>
      </c>
    </row>
    <row r="31">
      <c r="A31" s="1" t="str">
        <f>Data!B31</f>
        <v>Month1</v>
      </c>
      <c r="B31" s="1" t="str">
        <f>Data!C31</f>
        <v>W</v>
      </c>
      <c r="C31" s="1" t="str">
        <f>Data!D31</f>
        <v>Delhi</v>
      </c>
      <c r="D31" s="1" t="str">
        <f>Data!E31</f>
        <v>HappyGrow</v>
      </c>
      <c r="E31" s="1" t="str">
        <f>Data!F31</f>
        <v>15244</v>
      </c>
      <c r="F31" s="1" t="str">
        <f>Data!G31</f>
        <v>15854</v>
      </c>
      <c r="G31" s="1">
        <f t="shared" si="3"/>
        <v>60</v>
      </c>
      <c r="H31" s="1">
        <f t="shared" si="4"/>
        <v>70</v>
      </c>
      <c r="I31" s="1">
        <f t="shared" ref="I31:J31" si="60">E31 * G31</f>
        <v>914640</v>
      </c>
      <c r="J31" s="1">
        <f t="shared" si="60"/>
        <v>1109780</v>
      </c>
      <c r="K31" s="1">
        <f t="shared" ref="K31:L31" si="61">IF(E31=0, "", I31 / E31)</f>
        <v>60</v>
      </c>
      <c r="L31" s="1">
        <f t="shared" si="61"/>
        <v>70</v>
      </c>
    </row>
    <row r="32">
      <c r="A32" s="1" t="str">
        <f>Data!B32</f>
        <v>Month1</v>
      </c>
      <c r="B32" s="1" t="str">
        <f>Data!C32</f>
        <v>S</v>
      </c>
      <c r="C32" s="1" t="str">
        <f>Data!D32</f>
        <v>Delhi</v>
      </c>
      <c r="D32" s="1" t="str">
        <f>Data!E32</f>
        <v>PowerSip</v>
      </c>
      <c r="E32" s="1" t="str">
        <f>Data!F32</f>
        <v>17316</v>
      </c>
      <c r="F32" s="1" t="str">
        <f>Data!G32</f>
        <v>19394</v>
      </c>
      <c r="G32" s="1">
        <f t="shared" si="3"/>
        <v>135</v>
      </c>
      <c r="H32" s="1">
        <f t="shared" si="4"/>
        <v>140</v>
      </c>
      <c r="I32" s="1">
        <f t="shared" ref="I32:J32" si="62">E32 * G32</f>
        <v>2337660</v>
      </c>
      <c r="J32" s="1">
        <f t="shared" si="62"/>
        <v>2715160</v>
      </c>
      <c r="K32" s="1">
        <f t="shared" ref="K32:L32" si="63">IF(E32=0, "", I32 / E32)</f>
        <v>135</v>
      </c>
      <c r="L32" s="1">
        <f t="shared" si="63"/>
        <v>140</v>
      </c>
    </row>
    <row r="33">
      <c r="A33" s="1" t="str">
        <f>Data!B33</f>
        <v>Month1</v>
      </c>
      <c r="B33" s="1" t="str">
        <f>Data!C33</f>
        <v>S</v>
      </c>
      <c r="C33" s="1" t="str">
        <f>Data!D33</f>
        <v>Delhi</v>
      </c>
      <c r="D33" s="1" t="str">
        <f>Data!E33</f>
        <v>HappyGrow</v>
      </c>
      <c r="E33" s="1" t="str">
        <f>Data!F33</f>
        <v>22866</v>
      </c>
      <c r="F33" s="1" t="str">
        <f>Data!G33</f>
        <v>23781</v>
      </c>
      <c r="G33" s="1">
        <f t="shared" si="3"/>
        <v>60</v>
      </c>
      <c r="H33" s="1">
        <f t="shared" si="4"/>
        <v>70</v>
      </c>
      <c r="I33" s="1">
        <f t="shared" ref="I33:J33" si="64">E33 * G33</f>
        <v>1371960</v>
      </c>
      <c r="J33" s="1">
        <f t="shared" si="64"/>
        <v>1664670</v>
      </c>
      <c r="K33" s="1">
        <f t="shared" ref="K33:L33" si="65">IF(E33=0, "", I33 / E33)</f>
        <v>60</v>
      </c>
      <c r="L33" s="1">
        <f t="shared" si="65"/>
        <v>70</v>
      </c>
    </row>
    <row r="34">
      <c r="A34" s="1" t="str">
        <f>Data!B34</f>
        <v>Month2</v>
      </c>
      <c r="B34" s="1" t="str">
        <f>Data!C34</f>
        <v>N</v>
      </c>
      <c r="C34" s="1" t="str">
        <f>Data!D34</f>
        <v>Chennai</v>
      </c>
      <c r="D34" s="1" t="str">
        <f>Data!E34</f>
        <v>PowerSip</v>
      </c>
      <c r="E34" s="1" t="str">
        <f>Data!F34</f>
        <v>23647</v>
      </c>
      <c r="F34" s="1" t="str">
        <f>Data!G34</f>
        <v>26485</v>
      </c>
      <c r="G34" s="1">
        <f t="shared" si="3"/>
        <v>135</v>
      </c>
      <c r="H34" s="1">
        <f t="shared" si="4"/>
        <v>140</v>
      </c>
      <c r="I34" s="1">
        <f t="shared" ref="I34:J34" si="66">E34 * G34</f>
        <v>3192345</v>
      </c>
      <c r="J34" s="1">
        <f t="shared" si="66"/>
        <v>3707900</v>
      </c>
      <c r="K34" s="1">
        <f t="shared" ref="K34:L34" si="67">IF(E34=0, "", I34 / E34)</f>
        <v>135</v>
      </c>
      <c r="L34" s="1">
        <f t="shared" si="67"/>
        <v>140</v>
      </c>
    </row>
    <row r="35">
      <c r="A35" s="1" t="str">
        <f>Data!B35</f>
        <v>Month2</v>
      </c>
      <c r="B35" s="1" t="str">
        <f>Data!C35</f>
        <v>N</v>
      </c>
      <c r="C35" s="1" t="str">
        <f>Data!D35</f>
        <v>Chennai</v>
      </c>
      <c r="D35" s="1" t="str">
        <f>Data!E35</f>
        <v>HappyGrow</v>
      </c>
      <c r="E35" s="1" t="str">
        <f>Data!F35</f>
        <v>17816</v>
      </c>
      <c r="F35" s="1" t="str">
        <f>Data!G35</f>
        <v>18529</v>
      </c>
      <c r="G35" s="1">
        <f t="shared" si="3"/>
        <v>60</v>
      </c>
      <c r="H35" s="1">
        <f t="shared" si="4"/>
        <v>70</v>
      </c>
      <c r="I35" s="1">
        <f t="shared" ref="I35:J35" si="68">E35 * G35</f>
        <v>1068960</v>
      </c>
      <c r="J35" s="1">
        <f t="shared" si="68"/>
        <v>1297030</v>
      </c>
      <c r="K35" s="1">
        <f t="shared" ref="K35:L35" si="69">IF(E35=0, "", I35 / E35)</f>
        <v>60</v>
      </c>
      <c r="L35" s="1">
        <f t="shared" si="69"/>
        <v>70</v>
      </c>
    </row>
    <row r="36">
      <c r="A36" s="1" t="str">
        <f>Data!B36</f>
        <v>Month2</v>
      </c>
      <c r="B36" s="1" t="str">
        <f>Data!C36</f>
        <v>E</v>
      </c>
      <c r="C36" s="1" t="str">
        <f>Data!D36</f>
        <v>Chennai</v>
      </c>
      <c r="D36" s="1" t="str">
        <f>Data!E36</f>
        <v>PowerSip</v>
      </c>
      <c r="E36" s="1" t="str">
        <f>Data!F36</f>
        <v>12617</v>
      </c>
      <c r="F36" s="1" t="str">
        <f>Data!G36</f>
        <v>14258</v>
      </c>
      <c r="G36" s="1">
        <f t="shared" si="3"/>
        <v>135</v>
      </c>
      <c r="H36" s="1">
        <f t="shared" si="4"/>
        <v>140</v>
      </c>
      <c r="I36" s="1">
        <f t="shared" ref="I36:J36" si="70">E36 * G36</f>
        <v>1703295</v>
      </c>
      <c r="J36" s="1">
        <f t="shared" si="70"/>
        <v>1996120</v>
      </c>
      <c r="K36" s="1">
        <f t="shared" ref="K36:L36" si="71">IF(E36=0, "", I36 / E36)</f>
        <v>135</v>
      </c>
      <c r="L36" s="1">
        <f t="shared" si="71"/>
        <v>140</v>
      </c>
    </row>
    <row r="37">
      <c r="A37" s="1" t="str">
        <f>Data!B37</f>
        <v>Month2</v>
      </c>
      <c r="B37" s="1" t="str">
        <f>Data!C37</f>
        <v>E</v>
      </c>
      <c r="C37" s="1" t="str">
        <f>Data!D37</f>
        <v>Chennai</v>
      </c>
      <c r="D37" s="1" t="str">
        <f>Data!E37</f>
        <v>HappyGrow</v>
      </c>
      <c r="E37" s="1" t="str">
        <f>Data!F37</f>
        <v>23912</v>
      </c>
      <c r="F37" s="1" t="str">
        <f>Data!G37</f>
        <v>25108</v>
      </c>
      <c r="G37" s="1">
        <f t="shared" si="3"/>
        <v>60</v>
      </c>
      <c r="H37" s="1">
        <f t="shared" si="4"/>
        <v>70</v>
      </c>
      <c r="I37" s="1">
        <f t="shared" ref="I37:J37" si="72">E37 * G37</f>
        <v>1434720</v>
      </c>
      <c r="J37" s="1">
        <f t="shared" si="72"/>
        <v>1757560</v>
      </c>
      <c r="K37" s="1">
        <f t="shared" ref="K37:L37" si="73">IF(E37=0, "", I37 / E37)</f>
        <v>60</v>
      </c>
      <c r="L37" s="1">
        <f t="shared" si="73"/>
        <v>70</v>
      </c>
    </row>
    <row r="38">
      <c r="A38" s="1" t="str">
        <f>Data!B38</f>
        <v>Month2</v>
      </c>
      <c r="B38" s="1" t="str">
        <f>Data!C38</f>
        <v>W</v>
      </c>
      <c r="C38" s="1" t="str">
        <f>Data!D38</f>
        <v>Chennai</v>
      </c>
      <c r="D38" s="1" t="str">
        <f>Data!E38</f>
        <v>PowerSip</v>
      </c>
      <c r="E38" s="1" t="str">
        <f>Data!F38</f>
        <v>15100</v>
      </c>
      <c r="F38" s="1" t="str">
        <f>Data!G38</f>
        <v>17063</v>
      </c>
      <c r="G38" s="1">
        <f t="shared" si="3"/>
        <v>135</v>
      </c>
      <c r="H38" s="1">
        <f t="shared" si="4"/>
        <v>140</v>
      </c>
      <c r="I38" s="1">
        <f t="shared" ref="I38:J38" si="74">E38 * G38</f>
        <v>2038500</v>
      </c>
      <c r="J38" s="1">
        <f t="shared" si="74"/>
        <v>2388820</v>
      </c>
      <c r="K38" s="1">
        <f t="shared" ref="K38:L38" si="75">IF(E38=0, "", I38 / E38)</f>
        <v>135</v>
      </c>
      <c r="L38" s="1">
        <f t="shared" si="75"/>
        <v>140</v>
      </c>
    </row>
    <row r="39">
      <c r="A39" s="1" t="str">
        <f>Data!B39</f>
        <v>Month2</v>
      </c>
      <c r="B39" s="1" t="str">
        <f>Data!C39</f>
        <v>W</v>
      </c>
      <c r="C39" s="1" t="str">
        <f>Data!D39</f>
        <v>Chennai</v>
      </c>
      <c r="D39" s="1" t="str">
        <f>Data!E39</f>
        <v>HappyGrow</v>
      </c>
      <c r="E39" s="1" t="str">
        <f>Data!F39</f>
        <v>16905</v>
      </c>
      <c r="F39" s="1" t="str">
        <f>Data!G39</f>
        <v>17751</v>
      </c>
      <c r="G39" s="1">
        <f t="shared" si="3"/>
        <v>60</v>
      </c>
      <c r="H39" s="1">
        <f t="shared" si="4"/>
        <v>70</v>
      </c>
      <c r="I39" s="1">
        <f t="shared" ref="I39:J39" si="76">E39 * G39</f>
        <v>1014300</v>
      </c>
      <c r="J39" s="1">
        <f t="shared" si="76"/>
        <v>1242570</v>
      </c>
      <c r="K39" s="1">
        <f t="shared" ref="K39:L39" si="77">IF(E39=0, "", I39 / E39)</f>
        <v>60</v>
      </c>
      <c r="L39" s="1">
        <f t="shared" si="77"/>
        <v>70</v>
      </c>
    </row>
    <row r="40">
      <c r="A40" s="1" t="str">
        <f>Data!B40</f>
        <v>Month2</v>
      </c>
      <c r="B40" s="1" t="str">
        <f>Data!C40</f>
        <v>S</v>
      </c>
      <c r="C40" s="1" t="str">
        <f>Data!D40</f>
        <v>Chennai</v>
      </c>
      <c r="D40" s="1" t="str">
        <f>Data!E40</f>
        <v>PowerSip</v>
      </c>
      <c r="E40" s="1" t="str">
        <f>Data!F40</f>
        <v>27310</v>
      </c>
      <c r="F40" s="1" t="str">
        <f>Data!G40</f>
        <v>30861</v>
      </c>
      <c r="G40" s="1">
        <f t="shared" si="3"/>
        <v>135</v>
      </c>
      <c r="H40" s="1">
        <f t="shared" si="4"/>
        <v>140</v>
      </c>
      <c r="I40" s="1">
        <f t="shared" ref="I40:J40" si="78">E40 * G40</f>
        <v>3686850</v>
      </c>
      <c r="J40" s="1">
        <f t="shared" si="78"/>
        <v>4320540</v>
      </c>
      <c r="K40" s="1">
        <f t="shared" ref="K40:L40" si="79">IF(E40=0, "", I40 / E40)</f>
        <v>135</v>
      </c>
      <c r="L40" s="1">
        <f t="shared" si="79"/>
        <v>140</v>
      </c>
    </row>
    <row r="41">
      <c r="A41" s="1" t="str">
        <f>Data!B41</f>
        <v>Month2</v>
      </c>
      <c r="B41" s="1" t="str">
        <f>Data!C41</f>
        <v>S</v>
      </c>
      <c r="C41" s="1" t="str">
        <f>Data!D41</f>
        <v>Chennai</v>
      </c>
      <c r="D41" s="1" t="str">
        <f>Data!E41</f>
        <v>HappyGrow</v>
      </c>
      <c r="E41" s="1" t="str">
        <f>Data!F41</f>
        <v>14411</v>
      </c>
      <c r="F41" s="1" t="str">
        <f>Data!G41</f>
        <v>15132</v>
      </c>
      <c r="G41" s="1">
        <f t="shared" si="3"/>
        <v>60</v>
      </c>
      <c r="H41" s="1">
        <f t="shared" si="4"/>
        <v>70</v>
      </c>
      <c r="I41" s="1">
        <f t="shared" ref="I41:J41" si="80">E41 * G41</f>
        <v>864660</v>
      </c>
      <c r="J41" s="1">
        <f t="shared" si="80"/>
        <v>1059240</v>
      </c>
      <c r="K41" s="1">
        <f t="shared" ref="K41:L41" si="81">IF(E41=0, "", I41 / E41)</f>
        <v>60</v>
      </c>
      <c r="L41" s="1">
        <f t="shared" si="81"/>
        <v>70</v>
      </c>
    </row>
    <row r="42">
      <c r="A42" s="1" t="str">
        <f>Data!B42</f>
        <v>Month2</v>
      </c>
      <c r="B42" s="1" t="str">
        <f>Data!C42</f>
        <v>N</v>
      </c>
      <c r="C42" s="1" t="str">
        <f>Data!D42</f>
        <v>Mumbai</v>
      </c>
      <c r="D42" s="1" t="str">
        <f>Data!E42</f>
        <v>PowerSip</v>
      </c>
      <c r="E42" s="1" t="str">
        <f>Data!F42</f>
        <v>24461</v>
      </c>
      <c r="F42" s="1" t="str">
        <f>Data!G42</f>
        <v>27886</v>
      </c>
      <c r="G42" s="1">
        <f t="shared" si="3"/>
        <v>135</v>
      </c>
      <c r="H42" s="1">
        <f t="shared" si="4"/>
        <v>140</v>
      </c>
      <c r="I42" s="1">
        <f t="shared" ref="I42:J42" si="82">E42 * G42</f>
        <v>3302235</v>
      </c>
      <c r="J42" s="1">
        <f t="shared" si="82"/>
        <v>3904040</v>
      </c>
      <c r="K42" s="1">
        <f t="shared" ref="K42:L42" si="83">IF(E42=0, "", I42 / E42)</f>
        <v>135</v>
      </c>
      <c r="L42" s="1">
        <f t="shared" si="83"/>
        <v>140</v>
      </c>
    </row>
    <row r="43">
      <c r="A43" s="1" t="str">
        <f>Data!B43</f>
        <v>Month2</v>
      </c>
      <c r="B43" s="1" t="str">
        <f>Data!C43</f>
        <v>N</v>
      </c>
      <c r="C43" s="1" t="str">
        <f>Data!D43</f>
        <v>Mumbai</v>
      </c>
      <c r="D43" s="1" t="str">
        <f>Data!E43</f>
        <v>HappyGrow</v>
      </c>
      <c r="E43" s="1" t="str">
        <f>Data!F43</f>
        <v>25060</v>
      </c>
      <c r="F43" s="1" t="str">
        <f>Data!G43</f>
        <v>26313</v>
      </c>
      <c r="G43" s="1">
        <f t="shared" si="3"/>
        <v>60</v>
      </c>
      <c r="H43" s="1">
        <f t="shared" si="4"/>
        <v>70</v>
      </c>
      <c r="I43" s="1">
        <f t="shared" ref="I43:J43" si="84">E43 * G43</f>
        <v>1503600</v>
      </c>
      <c r="J43" s="1">
        <f t="shared" si="84"/>
        <v>1841910</v>
      </c>
      <c r="K43" s="1">
        <f t="shared" ref="K43:L43" si="85">IF(E43=0, "", I43 / E43)</f>
        <v>60</v>
      </c>
      <c r="L43" s="1">
        <f t="shared" si="85"/>
        <v>70</v>
      </c>
    </row>
    <row r="44">
      <c r="A44" s="1" t="str">
        <f>Data!B44</f>
        <v>Month2</v>
      </c>
      <c r="B44" s="1" t="str">
        <f>Data!C44</f>
        <v>E</v>
      </c>
      <c r="C44" s="1" t="str">
        <f>Data!D44</f>
        <v>Mumbai</v>
      </c>
      <c r="D44" s="1" t="str">
        <f>Data!E44</f>
        <v>PowerSip</v>
      </c>
      <c r="E44" s="1" t="str">
        <f>Data!F44</f>
        <v>13716</v>
      </c>
      <c r="F44" s="1" t="str">
        <f>Data!G44</f>
        <v>15637</v>
      </c>
      <c r="G44" s="1">
        <f t="shared" si="3"/>
        <v>135</v>
      </c>
      <c r="H44" s="1">
        <f t="shared" si="4"/>
        <v>140</v>
      </c>
      <c r="I44" s="1">
        <f t="shared" ref="I44:J44" si="86">E44 * G44</f>
        <v>1851660</v>
      </c>
      <c r="J44" s="1">
        <f t="shared" si="86"/>
        <v>2189180</v>
      </c>
      <c r="K44" s="1">
        <f t="shared" ref="K44:L44" si="87">IF(E44=0, "", I44 / E44)</f>
        <v>135</v>
      </c>
      <c r="L44" s="1">
        <f t="shared" si="87"/>
        <v>140</v>
      </c>
    </row>
    <row r="45">
      <c r="A45" s="1" t="str">
        <f>Data!B45</f>
        <v>Month2</v>
      </c>
      <c r="B45" s="1" t="str">
        <f>Data!C45</f>
        <v>E</v>
      </c>
      <c r="C45" s="1" t="str">
        <f>Data!D45</f>
        <v>Mumbai</v>
      </c>
      <c r="D45" s="1" t="str">
        <f>Data!E45</f>
        <v>HappyGrow</v>
      </c>
      <c r="E45" s="1" t="str">
        <f>Data!F45</f>
        <v>17499</v>
      </c>
      <c r="F45" s="1" t="str">
        <f>Data!G45</f>
        <v>18549</v>
      </c>
      <c r="G45" s="1">
        <f t="shared" si="3"/>
        <v>60</v>
      </c>
      <c r="H45" s="1">
        <f t="shared" si="4"/>
        <v>70</v>
      </c>
      <c r="I45" s="1">
        <f t="shared" ref="I45:J45" si="88">E45 * G45</f>
        <v>1049940</v>
      </c>
      <c r="J45" s="1">
        <f t="shared" si="88"/>
        <v>1298430</v>
      </c>
      <c r="K45" s="1">
        <f t="shared" ref="K45:L45" si="89">IF(E45=0, "", I45 / E45)</f>
        <v>60</v>
      </c>
      <c r="L45" s="1">
        <f t="shared" si="89"/>
        <v>70</v>
      </c>
    </row>
    <row r="46">
      <c r="A46" s="1" t="str">
        <f>Data!B46</f>
        <v>Month2</v>
      </c>
      <c r="B46" s="1" t="str">
        <f>Data!C46</f>
        <v>W</v>
      </c>
      <c r="C46" s="1" t="str">
        <f>Data!D46</f>
        <v>Mumbai</v>
      </c>
      <c r="D46" s="1" t="str">
        <f>Data!E46</f>
        <v>PowerSip</v>
      </c>
      <c r="E46" s="1" t="str">
        <f>Data!F46</f>
        <v>21490</v>
      </c>
      <c r="F46" s="1" t="str">
        <f>Data!G46</f>
        <v>24929</v>
      </c>
      <c r="G46" s="1">
        <f t="shared" si="3"/>
        <v>135</v>
      </c>
      <c r="H46" s="1">
        <f t="shared" si="4"/>
        <v>140</v>
      </c>
      <c r="I46" s="1">
        <f t="shared" ref="I46:J46" si="90">E46 * G46</f>
        <v>2901150</v>
      </c>
      <c r="J46" s="1">
        <f t="shared" si="90"/>
        <v>3490060</v>
      </c>
      <c r="K46" s="1">
        <f t="shared" ref="K46:L46" si="91">IF(E46=0, "", I46 / E46)</f>
        <v>135</v>
      </c>
      <c r="L46" s="1">
        <f t="shared" si="91"/>
        <v>140</v>
      </c>
    </row>
    <row r="47">
      <c r="A47" s="1" t="str">
        <f>Data!B47</f>
        <v>Month2</v>
      </c>
      <c r="B47" s="1" t="str">
        <f>Data!C47</f>
        <v>W</v>
      </c>
      <c r="C47" s="1" t="str">
        <f>Data!D47</f>
        <v>Mumbai</v>
      </c>
      <c r="D47" s="1" t="str">
        <f>Data!E47</f>
        <v>HappyGrow</v>
      </c>
      <c r="E47" s="1" t="str">
        <f>Data!F47</f>
        <v>12154</v>
      </c>
      <c r="F47" s="1" t="str">
        <f>Data!G47</f>
        <v>12884</v>
      </c>
      <c r="G47" s="1">
        <f t="shared" si="3"/>
        <v>60</v>
      </c>
      <c r="H47" s="1">
        <f t="shared" si="4"/>
        <v>70</v>
      </c>
      <c r="I47" s="1">
        <f t="shared" ref="I47:J47" si="92">E47 * G47</f>
        <v>729240</v>
      </c>
      <c r="J47" s="1">
        <f t="shared" si="92"/>
        <v>901880</v>
      </c>
      <c r="K47" s="1">
        <f t="shared" ref="K47:L47" si="93">IF(E47=0, "", I47 / E47)</f>
        <v>60</v>
      </c>
      <c r="L47" s="1">
        <f t="shared" si="93"/>
        <v>70</v>
      </c>
    </row>
    <row r="48">
      <c r="A48" s="1" t="str">
        <f>Data!B48</f>
        <v>Month2</v>
      </c>
      <c r="B48" s="1" t="str">
        <f>Data!C48</f>
        <v>S</v>
      </c>
      <c r="C48" s="1" t="str">
        <f>Data!D48</f>
        <v>Mumbai</v>
      </c>
      <c r="D48" s="1" t="str">
        <f>Data!E48</f>
        <v>PowerSip</v>
      </c>
      <c r="E48" s="1" t="str">
        <f>Data!F48</f>
        <v>13268</v>
      </c>
      <c r="F48" s="1" t="str">
        <f>Data!G48</f>
        <v>15391</v>
      </c>
      <c r="G48" s="1">
        <f t="shared" si="3"/>
        <v>135</v>
      </c>
      <c r="H48" s="1">
        <f t="shared" si="4"/>
        <v>140</v>
      </c>
      <c r="I48" s="1">
        <f t="shared" ref="I48:J48" si="94">E48 * G48</f>
        <v>1791180</v>
      </c>
      <c r="J48" s="1">
        <f t="shared" si="94"/>
        <v>2154740</v>
      </c>
      <c r="K48" s="1">
        <f t="shared" ref="K48:L48" si="95">IF(E48=0, "", I48 / E48)</f>
        <v>135</v>
      </c>
      <c r="L48" s="1">
        <f t="shared" si="95"/>
        <v>140</v>
      </c>
    </row>
    <row r="49">
      <c r="A49" s="1" t="str">
        <f>Data!B49</f>
        <v>Month2</v>
      </c>
      <c r="B49" s="1" t="str">
        <f>Data!C49</f>
        <v>S</v>
      </c>
      <c r="C49" s="1" t="str">
        <f>Data!D49</f>
        <v>Mumbai</v>
      </c>
      <c r="D49" s="1" t="str">
        <f>Data!E49</f>
        <v>HappyGrow</v>
      </c>
      <c r="E49" s="1" t="str">
        <f>Data!F49</f>
        <v>14530</v>
      </c>
      <c r="F49" s="1" t="str">
        <f>Data!G49</f>
        <v>15548</v>
      </c>
      <c r="G49" s="1">
        <f t="shared" si="3"/>
        <v>60</v>
      </c>
      <c r="H49" s="1">
        <f t="shared" si="4"/>
        <v>70</v>
      </c>
      <c r="I49" s="1">
        <f t="shared" ref="I49:J49" si="96">E49 * G49</f>
        <v>871800</v>
      </c>
      <c r="J49" s="1">
        <f t="shared" si="96"/>
        <v>1088360</v>
      </c>
      <c r="K49" s="1">
        <f t="shared" ref="K49:L49" si="97">IF(E49=0, "", I49 / E49)</f>
        <v>60</v>
      </c>
      <c r="L49" s="1">
        <f t="shared" si="97"/>
        <v>70</v>
      </c>
    </row>
    <row r="50">
      <c r="A50" s="1" t="str">
        <f>Data!B50</f>
        <v>Month2</v>
      </c>
      <c r="B50" s="1" t="str">
        <f>Data!C50</f>
        <v>N</v>
      </c>
      <c r="C50" s="1" t="str">
        <f>Data!D50</f>
        <v>Bengaluru</v>
      </c>
      <c r="D50" s="1" t="str">
        <f>Data!E50</f>
        <v>PowerSip</v>
      </c>
      <c r="E50" s="1" t="str">
        <f>Data!F50</f>
        <v>23403</v>
      </c>
      <c r="F50" s="1" t="str">
        <f>Data!G50</f>
        <v>27382</v>
      </c>
      <c r="G50" s="1">
        <f t="shared" si="3"/>
        <v>135</v>
      </c>
      <c r="H50" s="1">
        <f t="shared" si="4"/>
        <v>140</v>
      </c>
      <c r="I50" s="1">
        <f t="shared" ref="I50:J50" si="98">E50 * G50</f>
        <v>3159405</v>
      </c>
      <c r="J50" s="1">
        <f t="shared" si="98"/>
        <v>3833480</v>
      </c>
      <c r="K50" s="1">
        <f t="shared" ref="K50:L50" si="99">IF(E50=0, "", I50 / E50)</f>
        <v>135</v>
      </c>
      <c r="L50" s="1">
        <f t="shared" si="99"/>
        <v>140</v>
      </c>
    </row>
    <row r="51">
      <c r="A51" s="1" t="str">
        <f>Data!B51</f>
        <v>Month2</v>
      </c>
      <c r="B51" s="1" t="str">
        <f>Data!C51</f>
        <v>N</v>
      </c>
      <c r="C51" s="1" t="str">
        <f>Data!D51</f>
        <v>Bengaluru</v>
      </c>
      <c r="D51" s="1" t="str">
        <f>Data!E51</f>
        <v>HappyGrow</v>
      </c>
      <c r="E51" s="1" t="str">
        <f>Data!F51</f>
        <v>19914</v>
      </c>
      <c r="F51" s="1" t="str">
        <f>Data!G51</f>
        <v>21308</v>
      </c>
      <c r="G51" s="1">
        <f t="shared" si="3"/>
        <v>60</v>
      </c>
      <c r="H51" s="1">
        <f t="shared" si="4"/>
        <v>70</v>
      </c>
      <c r="I51" s="1">
        <f t="shared" ref="I51:J51" si="100">E51 * G51</f>
        <v>1194840</v>
      </c>
      <c r="J51" s="1">
        <f t="shared" si="100"/>
        <v>1491560</v>
      </c>
      <c r="K51" s="1">
        <f t="shared" ref="K51:L51" si="101">IF(E51=0, "", I51 / E51)</f>
        <v>60</v>
      </c>
      <c r="L51" s="1">
        <f t="shared" si="101"/>
        <v>70</v>
      </c>
    </row>
    <row r="52">
      <c r="A52" s="1" t="str">
        <f>Data!B52</f>
        <v>Month2</v>
      </c>
      <c r="B52" s="1" t="str">
        <f>Data!C52</f>
        <v>E</v>
      </c>
      <c r="C52" s="1" t="str">
        <f>Data!D52</f>
        <v>Bengaluru</v>
      </c>
      <c r="D52" s="1" t="str">
        <f>Data!E52</f>
        <v>PowerSip</v>
      </c>
      <c r="E52" s="1" t="str">
        <f>Data!F52</f>
        <v>26455</v>
      </c>
      <c r="F52" s="1" t="str">
        <f>Data!G52</f>
        <v>30953</v>
      </c>
      <c r="G52" s="1">
        <f t="shared" si="3"/>
        <v>135</v>
      </c>
      <c r="H52" s="1">
        <f t="shared" si="4"/>
        <v>140</v>
      </c>
      <c r="I52" s="1">
        <f t="shared" ref="I52:J52" si="102">E52 * G52</f>
        <v>3571425</v>
      </c>
      <c r="J52" s="1">
        <f t="shared" si="102"/>
        <v>4333420</v>
      </c>
      <c r="K52" s="1">
        <f t="shared" ref="K52:L52" si="103">IF(E52=0, "", I52 / E52)</f>
        <v>135</v>
      </c>
      <c r="L52" s="1">
        <f t="shared" si="103"/>
        <v>140</v>
      </c>
    </row>
    <row r="53">
      <c r="A53" s="1" t="str">
        <f>Data!B53</f>
        <v>Month2</v>
      </c>
      <c r="B53" s="1" t="str">
        <f>Data!C53</f>
        <v>E</v>
      </c>
      <c r="C53" s="1" t="str">
        <f>Data!D53</f>
        <v>Bengaluru</v>
      </c>
      <c r="D53" s="1" t="str">
        <f>Data!E53</f>
        <v>HappyGrow</v>
      </c>
      <c r="E53" s="1" t="str">
        <f>Data!F53</f>
        <v>16192</v>
      </c>
      <c r="F53" s="1" t="str">
        <f>Data!G53</f>
        <v>17326</v>
      </c>
      <c r="G53" s="1">
        <f t="shared" si="3"/>
        <v>60</v>
      </c>
      <c r="H53" s="1">
        <f t="shared" si="4"/>
        <v>70</v>
      </c>
      <c r="I53" s="1">
        <f t="shared" ref="I53:J53" si="104">E53 * G53</f>
        <v>971520</v>
      </c>
      <c r="J53" s="1">
        <f t="shared" si="104"/>
        <v>1212820</v>
      </c>
      <c r="K53" s="1">
        <f t="shared" ref="K53:L53" si="105">IF(E53=0, "", I53 / E53)</f>
        <v>60</v>
      </c>
      <c r="L53" s="1">
        <f t="shared" si="105"/>
        <v>70</v>
      </c>
    </row>
    <row r="54">
      <c r="A54" s="1" t="str">
        <f>Data!B54</f>
        <v>Month2</v>
      </c>
      <c r="B54" s="1" t="str">
        <f>Data!C54</f>
        <v>W</v>
      </c>
      <c r="C54" s="1" t="str">
        <f>Data!D54</f>
        <v>Bengaluru</v>
      </c>
      <c r="D54" s="1" t="str">
        <f>Data!E54</f>
        <v>PowerSip</v>
      </c>
      <c r="E54" s="1" t="str">
        <f>Data!F54</f>
        <v>19617</v>
      </c>
      <c r="F54" s="1" t="str">
        <f>Data!G54</f>
        <v>22952</v>
      </c>
      <c r="G54" s="1">
        <f t="shared" si="3"/>
        <v>135</v>
      </c>
      <c r="H54" s="1">
        <f t="shared" si="4"/>
        <v>140</v>
      </c>
      <c r="I54" s="1">
        <f t="shared" ref="I54:J54" si="106">E54 * G54</f>
        <v>2648295</v>
      </c>
      <c r="J54" s="1">
        <f t="shared" si="106"/>
        <v>3213280</v>
      </c>
      <c r="K54" s="1">
        <f t="shared" ref="K54:L54" si="107">IF(E54=0, "", I54 / E54)</f>
        <v>135</v>
      </c>
      <c r="L54" s="1">
        <f t="shared" si="107"/>
        <v>140</v>
      </c>
    </row>
    <row r="55">
      <c r="A55" s="1" t="str">
        <f>Data!B55</f>
        <v>Month2</v>
      </c>
      <c r="B55" s="1" t="str">
        <f>Data!C55</f>
        <v>W</v>
      </c>
      <c r="C55" s="1" t="str">
        <f>Data!D55</f>
        <v>Bengaluru</v>
      </c>
      <c r="D55" s="1" t="str">
        <f>Data!E55</f>
        <v>HappyGrow</v>
      </c>
      <c r="E55" s="1" t="str">
        <f>Data!F55</f>
        <v>15084</v>
      </c>
      <c r="F55" s="1" t="str">
        <f>Data!G55</f>
        <v>16140</v>
      </c>
      <c r="G55" s="1">
        <f t="shared" si="3"/>
        <v>60</v>
      </c>
      <c r="H55" s="1">
        <f t="shared" si="4"/>
        <v>70</v>
      </c>
      <c r="I55" s="1">
        <f t="shared" ref="I55:J55" si="108">E55 * G55</f>
        <v>905040</v>
      </c>
      <c r="J55" s="1">
        <f t="shared" si="108"/>
        <v>1129800</v>
      </c>
      <c r="K55" s="1">
        <f t="shared" ref="K55:L55" si="109">IF(E55=0, "", I55 / E55)</f>
        <v>60</v>
      </c>
      <c r="L55" s="1">
        <f t="shared" si="109"/>
        <v>70</v>
      </c>
    </row>
    <row r="56">
      <c r="A56" s="1" t="str">
        <f>Data!B56</f>
        <v>Month2</v>
      </c>
      <c r="B56" s="1" t="str">
        <f>Data!C56</f>
        <v>S</v>
      </c>
      <c r="C56" s="1" t="str">
        <f>Data!D56</f>
        <v>Bengaluru</v>
      </c>
      <c r="D56" s="1" t="str">
        <f>Data!E56</f>
        <v>PowerSip</v>
      </c>
      <c r="E56" s="1" t="str">
        <f>Data!F56</f>
        <v>27106</v>
      </c>
      <c r="F56" s="1" t="str">
        <f>Data!G56</f>
        <v>31715</v>
      </c>
      <c r="G56" s="1">
        <f t="shared" si="3"/>
        <v>135</v>
      </c>
      <c r="H56" s="1">
        <f t="shared" si="4"/>
        <v>140</v>
      </c>
      <c r="I56" s="1">
        <f t="shared" ref="I56:J56" si="110">E56 * G56</f>
        <v>3659310</v>
      </c>
      <c r="J56" s="1">
        <f t="shared" si="110"/>
        <v>4440100</v>
      </c>
      <c r="K56" s="1">
        <f t="shared" ref="K56:L56" si="111">IF(E56=0, "", I56 / E56)</f>
        <v>135</v>
      </c>
      <c r="L56" s="1">
        <f t="shared" si="111"/>
        <v>140</v>
      </c>
    </row>
    <row r="57">
      <c r="A57" s="1" t="str">
        <f>Data!B57</f>
        <v>Month2</v>
      </c>
      <c r="B57" s="1" t="str">
        <f>Data!C57</f>
        <v>S</v>
      </c>
      <c r="C57" s="1" t="str">
        <f>Data!D57</f>
        <v>Bengaluru</v>
      </c>
      <c r="D57" s="1" t="str">
        <f>Data!E57</f>
        <v>HappyGrow</v>
      </c>
      <c r="E57" s="1" t="str">
        <f>Data!F57</f>
        <v>26604</v>
      </c>
      <c r="F57" s="1" t="str">
        <f>Data!G57</f>
        <v>28467</v>
      </c>
      <c r="G57" s="1">
        <f t="shared" si="3"/>
        <v>60</v>
      </c>
      <c r="H57" s="1">
        <f t="shared" si="4"/>
        <v>70</v>
      </c>
      <c r="I57" s="1">
        <f t="shared" ref="I57:J57" si="112">E57 * G57</f>
        <v>1596240</v>
      </c>
      <c r="J57" s="1">
        <f t="shared" si="112"/>
        <v>1992690</v>
      </c>
      <c r="K57" s="1">
        <f t="shared" ref="K57:L57" si="113">IF(E57=0, "", I57 / E57)</f>
        <v>60</v>
      </c>
      <c r="L57" s="1">
        <f t="shared" si="113"/>
        <v>70</v>
      </c>
    </row>
    <row r="58">
      <c r="A58" s="1" t="str">
        <f>Data!B58</f>
        <v>Month2</v>
      </c>
      <c r="B58" s="1" t="str">
        <f>Data!C58</f>
        <v>N</v>
      </c>
      <c r="C58" s="1" t="str">
        <f>Data!D58</f>
        <v>Delhi</v>
      </c>
      <c r="D58" s="1" t="str">
        <f>Data!E58</f>
        <v>PowerSip</v>
      </c>
      <c r="E58" s="1" t="str">
        <f>Data!F58</f>
        <v>21815</v>
      </c>
      <c r="F58" s="1" t="str">
        <f>Data!G58</f>
        <v>25524</v>
      </c>
      <c r="G58" s="1">
        <f t="shared" si="3"/>
        <v>135</v>
      </c>
      <c r="H58" s="1">
        <f t="shared" si="4"/>
        <v>140</v>
      </c>
      <c r="I58" s="1">
        <f t="shared" ref="I58:J58" si="114">E58 * G58</f>
        <v>2945025</v>
      </c>
      <c r="J58" s="1">
        <f t="shared" si="114"/>
        <v>3573360</v>
      </c>
      <c r="K58" s="1">
        <f t="shared" ref="K58:L58" si="115">IF(E58=0, "", I58 / E58)</f>
        <v>135</v>
      </c>
      <c r="L58" s="1">
        <f t="shared" si="115"/>
        <v>140</v>
      </c>
    </row>
    <row r="59">
      <c r="A59" s="1" t="str">
        <f>Data!B59</f>
        <v>Month2</v>
      </c>
      <c r="B59" s="1" t="str">
        <f>Data!C59</f>
        <v>N</v>
      </c>
      <c r="C59" s="1" t="str">
        <f>Data!D59</f>
        <v>Delhi</v>
      </c>
      <c r="D59" s="1" t="str">
        <f>Data!E59</f>
        <v>HappyGrow</v>
      </c>
      <c r="E59" s="1" t="str">
        <f>Data!F59</f>
        <v>13183</v>
      </c>
      <c r="F59" s="1" t="str">
        <f>Data!G59</f>
        <v>14238</v>
      </c>
      <c r="G59" s="1">
        <f t="shared" si="3"/>
        <v>60</v>
      </c>
      <c r="H59" s="1">
        <f t="shared" si="4"/>
        <v>70</v>
      </c>
      <c r="I59" s="1">
        <f t="shared" ref="I59:J59" si="116">E59 * G59</f>
        <v>790980</v>
      </c>
      <c r="J59" s="1">
        <f t="shared" si="116"/>
        <v>996660</v>
      </c>
      <c r="K59" s="1">
        <f t="shared" ref="K59:L59" si="117">IF(E59=0, "", I59 / E59)</f>
        <v>60</v>
      </c>
      <c r="L59" s="1">
        <f t="shared" si="117"/>
        <v>70</v>
      </c>
    </row>
    <row r="60">
      <c r="A60" s="1" t="str">
        <f>Data!B60</f>
        <v>Month2</v>
      </c>
      <c r="B60" s="1" t="str">
        <f>Data!C60</f>
        <v>E</v>
      </c>
      <c r="C60" s="1" t="str">
        <f>Data!D60</f>
        <v>Delhi</v>
      </c>
      <c r="D60" s="1" t="str">
        <f>Data!E60</f>
        <v>PowerSip</v>
      </c>
      <c r="E60" s="1" t="str">
        <f>Data!F60</f>
        <v>23728</v>
      </c>
      <c r="F60" s="1" t="str">
        <f>Data!G60</f>
        <v>27762</v>
      </c>
      <c r="G60" s="1">
        <f t="shared" si="3"/>
        <v>135</v>
      </c>
      <c r="H60" s="1">
        <f t="shared" si="4"/>
        <v>140</v>
      </c>
      <c r="I60" s="1">
        <f t="shared" ref="I60:J60" si="118">E60 * G60</f>
        <v>3203280</v>
      </c>
      <c r="J60" s="1">
        <f t="shared" si="118"/>
        <v>3886680</v>
      </c>
      <c r="K60" s="1">
        <f t="shared" ref="K60:L60" si="119">IF(E60=0, "", I60 / E60)</f>
        <v>135</v>
      </c>
      <c r="L60" s="1">
        <f t="shared" si="119"/>
        <v>140</v>
      </c>
    </row>
    <row r="61">
      <c r="A61" s="1" t="str">
        <f>Data!B61</f>
        <v>Month2</v>
      </c>
      <c r="B61" s="1" t="str">
        <f>Data!C61</f>
        <v>E</v>
      </c>
      <c r="C61" s="1" t="str">
        <f>Data!D61</f>
        <v>Delhi</v>
      </c>
      <c r="D61" s="1" t="str">
        <f>Data!E61</f>
        <v>HappyGrow</v>
      </c>
      <c r="E61" s="1" t="str">
        <f>Data!F61</f>
        <v>14252</v>
      </c>
      <c r="F61" s="1" t="str">
        <f>Data!G61</f>
        <v>15393</v>
      </c>
      <c r="G61" s="1">
        <f t="shared" si="3"/>
        <v>60</v>
      </c>
      <c r="H61" s="1">
        <f t="shared" si="4"/>
        <v>70</v>
      </c>
      <c r="I61" s="1">
        <f t="shared" ref="I61:J61" si="120">E61 * G61</f>
        <v>855120</v>
      </c>
      <c r="J61" s="1">
        <f t="shared" si="120"/>
        <v>1077510</v>
      </c>
      <c r="K61" s="1">
        <f t="shared" ref="K61:L61" si="121">IF(E61=0, "", I61 / E61)</f>
        <v>60</v>
      </c>
      <c r="L61" s="1">
        <f t="shared" si="121"/>
        <v>70</v>
      </c>
    </row>
    <row r="62">
      <c r="A62" s="1" t="str">
        <f>Data!B62</f>
        <v>Month2</v>
      </c>
      <c r="B62" s="1" t="str">
        <f>Data!C62</f>
        <v>W</v>
      </c>
      <c r="C62" s="1" t="str">
        <f>Data!D62</f>
        <v>Delhi</v>
      </c>
      <c r="D62" s="1" t="str">
        <f>Data!E62</f>
        <v>PowerSip</v>
      </c>
      <c r="E62" s="1" t="str">
        <f>Data!F62</f>
        <v>22100</v>
      </c>
      <c r="F62" s="1" t="str">
        <f>Data!G62</f>
        <v>26078</v>
      </c>
      <c r="G62" s="1">
        <f t="shared" si="3"/>
        <v>135</v>
      </c>
      <c r="H62" s="1">
        <f t="shared" si="4"/>
        <v>140</v>
      </c>
      <c r="I62" s="1">
        <f t="shared" ref="I62:J62" si="122">E62 * G62</f>
        <v>2983500</v>
      </c>
      <c r="J62" s="1">
        <f t="shared" si="122"/>
        <v>3650920</v>
      </c>
      <c r="K62" s="1">
        <f t="shared" ref="K62:L62" si="123">IF(E62=0, "", I62 / E62)</f>
        <v>135</v>
      </c>
      <c r="L62" s="1">
        <f t="shared" si="123"/>
        <v>140</v>
      </c>
    </row>
    <row r="63">
      <c r="A63" s="1" t="str">
        <f>Data!B63</f>
        <v>Month2</v>
      </c>
      <c r="B63" s="1" t="str">
        <f>Data!C63</f>
        <v>W</v>
      </c>
      <c r="C63" s="1" t="str">
        <f>Data!D63</f>
        <v>Delhi</v>
      </c>
      <c r="D63" s="1" t="str">
        <f>Data!E63</f>
        <v>HappyGrow</v>
      </c>
      <c r="E63" s="1" t="str">
        <f>Data!F63</f>
        <v>16311</v>
      </c>
      <c r="F63" s="1" t="str">
        <f>Data!G63</f>
        <v>17616</v>
      </c>
      <c r="G63" s="1">
        <f t="shared" si="3"/>
        <v>60</v>
      </c>
      <c r="H63" s="1">
        <f t="shared" si="4"/>
        <v>70</v>
      </c>
      <c r="I63" s="1">
        <f t="shared" ref="I63:J63" si="124">E63 * G63</f>
        <v>978660</v>
      </c>
      <c r="J63" s="1">
        <f t="shared" si="124"/>
        <v>1233120</v>
      </c>
      <c r="K63" s="1">
        <f t="shared" ref="K63:L63" si="125">IF(E63=0, "", I63 / E63)</f>
        <v>60</v>
      </c>
      <c r="L63" s="1">
        <f t="shared" si="125"/>
        <v>70</v>
      </c>
    </row>
    <row r="64">
      <c r="A64" s="1" t="str">
        <f>Data!B64</f>
        <v>Month2</v>
      </c>
      <c r="B64" s="1" t="str">
        <f>Data!C64</f>
        <v>S</v>
      </c>
      <c r="C64" s="1" t="str">
        <f>Data!D64</f>
        <v>Delhi</v>
      </c>
      <c r="D64" s="1" t="str">
        <f>Data!E64</f>
        <v>PowerSip</v>
      </c>
      <c r="E64" s="1" t="str">
        <f>Data!F64</f>
        <v>19048</v>
      </c>
      <c r="F64" s="1" t="str">
        <f>Data!G64</f>
        <v>22477</v>
      </c>
      <c r="G64" s="1">
        <f t="shared" si="3"/>
        <v>135</v>
      </c>
      <c r="H64" s="1">
        <f t="shared" si="4"/>
        <v>140</v>
      </c>
      <c r="I64" s="1">
        <f t="shared" ref="I64:J64" si="126">E64 * G64</f>
        <v>2571480</v>
      </c>
      <c r="J64" s="1">
        <f t="shared" si="126"/>
        <v>3146780</v>
      </c>
      <c r="K64" s="1">
        <f t="shared" ref="K64:L64" si="127">IF(E64=0, "", I64 / E64)</f>
        <v>135</v>
      </c>
      <c r="L64" s="1">
        <f t="shared" si="127"/>
        <v>140</v>
      </c>
    </row>
    <row r="65">
      <c r="A65" s="1" t="str">
        <f>Data!B65</f>
        <v>Month2</v>
      </c>
      <c r="B65" s="1" t="str">
        <f>Data!C65</f>
        <v>S</v>
      </c>
      <c r="C65" s="1" t="str">
        <f>Data!D65</f>
        <v>Delhi</v>
      </c>
      <c r="D65" s="1" t="str">
        <f>Data!E65</f>
        <v>HappyGrow</v>
      </c>
      <c r="E65" s="1" t="str">
        <f>Data!F65</f>
        <v>24467</v>
      </c>
      <c r="F65" s="1" t="str">
        <f>Data!G65</f>
        <v>26425</v>
      </c>
      <c r="G65" s="1">
        <f t="shared" si="3"/>
        <v>60</v>
      </c>
      <c r="H65" s="1">
        <f t="shared" si="4"/>
        <v>70</v>
      </c>
      <c r="I65" s="1">
        <f t="shared" ref="I65:J65" si="128">E65 * G65</f>
        <v>1468020</v>
      </c>
      <c r="J65" s="1">
        <f t="shared" si="128"/>
        <v>1849750</v>
      </c>
      <c r="K65" s="1">
        <f t="shared" ref="K65:L65" si="129">IF(E65=0, "", I65 / E65)</f>
        <v>60</v>
      </c>
      <c r="L65" s="1">
        <f t="shared" si="129"/>
        <v>70</v>
      </c>
    </row>
    <row r="66">
      <c r="A66" s="1" t="str">
        <f>Data!B66</f>
        <v>Month3</v>
      </c>
      <c r="B66" s="1" t="str">
        <f>Data!C66</f>
        <v>N</v>
      </c>
      <c r="C66" s="1" t="str">
        <f>Data!D66</f>
        <v>Chennai</v>
      </c>
      <c r="D66" s="1" t="str">
        <f>Data!E66</f>
        <v>PowerSip</v>
      </c>
      <c r="E66" s="1" t="str">
        <f>Data!F66</f>
        <v>26012</v>
      </c>
      <c r="F66" s="1" t="str">
        <f>Data!G66</f>
        <v>30695</v>
      </c>
      <c r="G66" s="1">
        <f t="shared" si="3"/>
        <v>135</v>
      </c>
      <c r="H66" s="1">
        <f t="shared" si="4"/>
        <v>140</v>
      </c>
      <c r="I66" s="1">
        <f t="shared" ref="I66:J66" si="130">E66 * G66</f>
        <v>3511620</v>
      </c>
      <c r="J66" s="1">
        <f t="shared" si="130"/>
        <v>4297300</v>
      </c>
      <c r="K66" s="1">
        <f t="shared" ref="K66:L66" si="131">IF(E66=0, "", I66 / E66)</f>
        <v>135</v>
      </c>
      <c r="L66" s="1">
        <f t="shared" si="131"/>
        <v>140</v>
      </c>
    </row>
    <row r="67">
      <c r="A67" s="1" t="str">
        <f>Data!B67</f>
        <v>Month3</v>
      </c>
      <c r="B67" s="1" t="str">
        <f>Data!C67</f>
        <v>N</v>
      </c>
      <c r="C67" s="1" t="str">
        <f>Data!D67</f>
        <v>Chennai</v>
      </c>
      <c r="D67" s="1" t="str">
        <f>Data!E67</f>
        <v>HappyGrow</v>
      </c>
      <c r="E67" s="1" t="str">
        <f>Data!F67</f>
        <v>19063</v>
      </c>
      <c r="F67" s="1" t="str">
        <f>Data!G67</f>
        <v>20589</v>
      </c>
      <c r="G67" s="1">
        <f t="shared" si="3"/>
        <v>60</v>
      </c>
      <c r="H67" s="1">
        <f t="shared" si="4"/>
        <v>70</v>
      </c>
      <c r="I67" s="1">
        <f t="shared" ref="I67:J67" si="132">E67 * G67</f>
        <v>1143780</v>
      </c>
      <c r="J67" s="1">
        <f t="shared" si="132"/>
        <v>1441230</v>
      </c>
      <c r="K67" s="1">
        <f t="shared" ref="K67:L67" si="133">IF(E67=0, "", I67 / E67)</f>
        <v>60</v>
      </c>
      <c r="L67" s="1">
        <f t="shared" si="133"/>
        <v>70</v>
      </c>
    </row>
    <row r="68">
      <c r="A68" s="1" t="str">
        <f>Data!B68</f>
        <v>Month3</v>
      </c>
      <c r="B68" s="1" t="str">
        <f>Data!C68</f>
        <v>E</v>
      </c>
      <c r="C68" s="1" t="str">
        <f>Data!D68</f>
        <v>Chennai</v>
      </c>
      <c r="D68" s="1" t="str">
        <f>Data!E68</f>
        <v>PowerSip</v>
      </c>
      <c r="E68" s="1" t="str">
        <f>Data!F68</f>
        <v>13879</v>
      </c>
      <c r="F68" s="1" t="str">
        <f>Data!G68</f>
        <v>16378</v>
      </c>
      <c r="G68" s="1">
        <f t="shared" si="3"/>
        <v>135</v>
      </c>
      <c r="H68" s="1">
        <f t="shared" si="4"/>
        <v>140</v>
      </c>
      <c r="I68" s="1">
        <f t="shared" ref="I68:J68" si="134">E68 * G68</f>
        <v>1873665</v>
      </c>
      <c r="J68" s="1">
        <f t="shared" si="134"/>
        <v>2292920</v>
      </c>
      <c r="K68" s="1">
        <f t="shared" ref="K68:L68" si="135">IF(E68=0, "", I68 / E68)</f>
        <v>135</v>
      </c>
      <c r="L68" s="1">
        <f t="shared" si="135"/>
        <v>140</v>
      </c>
    </row>
    <row r="69">
      <c r="A69" s="1" t="str">
        <f>Data!B69</f>
        <v>Month3</v>
      </c>
      <c r="B69" s="1" t="str">
        <f>Data!C69</f>
        <v>E</v>
      </c>
      <c r="C69" s="1" t="str">
        <f>Data!D69</f>
        <v>Chennai</v>
      </c>
      <c r="D69" s="1" t="str">
        <f>Data!E69</f>
        <v>HappyGrow</v>
      </c>
      <c r="E69" s="1" t="str">
        <f>Data!F69</f>
        <v>25586</v>
      </c>
      <c r="F69" s="1" t="str">
        <f>Data!G69</f>
        <v>27889</v>
      </c>
      <c r="G69" s="1">
        <f t="shared" si="3"/>
        <v>60</v>
      </c>
      <c r="H69" s="1">
        <f t="shared" si="4"/>
        <v>70</v>
      </c>
      <c r="I69" s="1">
        <f t="shared" ref="I69:J69" si="136">E69 * G69</f>
        <v>1535160</v>
      </c>
      <c r="J69" s="1">
        <f t="shared" si="136"/>
        <v>1952230</v>
      </c>
      <c r="K69" s="1">
        <f t="shared" ref="K69:L69" si="137">IF(E69=0, "", I69 / E69)</f>
        <v>60</v>
      </c>
      <c r="L69" s="1">
        <f t="shared" si="137"/>
        <v>70</v>
      </c>
    </row>
    <row r="70">
      <c r="A70" s="1" t="str">
        <f>Data!B70</f>
        <v>Month3</v>
      </c>
      <c r="B70" s="1" t="str">
        <f>Data!C70</f>
        <v>W</v>
      </c>
      <c r="C70" s="1" t="str">
        <f>Data!D70</f>
        <v>Chennai</v>
      </c>
      <c r="D70" s="1" t="str">
        <f>Data!E70</f>
        <v>PowerSip</v>
      </c>
      <c r="E70" s="1" t="str">
        <f>Data!F70</f>
        <v>16610</v>
      </c>
      <c r="F70" s="1" t="str">
        <f>Data!G70</f>
        <v>19600</v>
      </c>
      <c r="G70" s="1">
        <f t="shared" si="3"/>
        <v>135</v>
      </c>
      <c r="H70" s="1">
        <f t="shared" si="4"/>
        <v>140</v>
      </c>
      <c r="I70" s="1">
        <f t="shared" ref="I70:J70" si="138">E70 * G70</f>
        <v>2242350</v>
      </c>
      <c r="J70" s="1">
        <f t="shared" si="138"/>
        <v>2744000</v>
      </c>
      <c r="K70" s="1">
        <f t="shared" ref="K70:L70" si="139">IF(E70=0, "", I70 / E70)</f>
        <v>135</v>
      </c>
      <c r="L70" s="1">
        <f t="shared" si="139"/>
        <v>140</v>
      </c>
    </row>
    <row r="71">
      <c r="A71" s="1" t="str">
        <f>Data!B71</f>
        <v>Month3</v>
      </c>
      <c r="B71" s="1" t="str">
        <f>Data!C71</f>
        <v>W</v>
      </c>
      <c r="C71" s="1" t="str">
        <f>Data!D71</f>
        <v>Chennai</v>
      </c>
      <c r="D71" s="1" t="str">
        <f>Data!E71</f>
        <v>HappyGrow</v>
      </c>
      <c r="E71" s="1" t="str">
        <f>Data!F71</f>
        <v>18088</v>
      </c>
      <c r="F71" s="1" t="str">
        <f>Data!G71</f>
        <v>19716</v>
      </c>
      <c r="G71" s="1">
        <f t="shared" si="3"/>
        <v>60</v>
      </c>
      <c r="H71" s="1">
        <f t="shared" si="4"/>
        <v>70</v>
      </c>
      <c r="I71" s="1">
        <f t="shared" ref="I71:J71" si="140">E71 * G71</f>
        <v>1085280</v>
      </c>
      <c r="J71" s="1">
        <f t="shared" si="140"/>
        <v>1380120</v>
      </c>
      <c r="K71" s="1">
        <f t="shared" ref="K71:L71" si="141">IF(E71=0, "", I71 / E71)</f>
        <v>60</v>
      </c>
      <c r="L71" s="1">
        <f t="shared" si="141"/>
        <v>70</v>
      </c>
    </row>
    <row r="72">
      <c r="A72" s="1" t="str">
        <f>Data!B72</f>
        <v>Month3</v>
      </c>
      <c r="B72" s="1" t="str">
        <f>Data!C72</f>
        <v>S</v>
      </c>
      <c r="C72" s="1" t="str">
        <f>Data!D72</f>
        <v>Chennai</v>
      </c>
      <c r="D72" s="1" t="str">
        <f>Data!E72</f>
        <v>PowerSip</v>
      </c>
      <c r="E72" s="1" t="str">
        <f>Data!F72</f>
        <v>30041</v>
      </c>
      <c r="F72" s="1" t="str">
        <f>Data!G72</f>
        <v>35449</v>
      </c>
      <c r="G72" s="1">
        <f t="shared" si="3"/>
        <v>135</v>
      </c>
      <c r="H72" s="1">
        <f t="shared" si="4"/>
        <v>140</v>
      </c>
      <c r="I72" s="1">
        <f t="shared" ref="I72:J72" si="142">E72 * G72</f>
        <v>4055535</v>
      </c>
      <c r="J72" s="1">
        <f t="shared" si="142"/>
        <v>4962860</v>
      </c>
      <c r="K72" s="1">
        <f t="shared" ref="K72:L72" si="143">IF(E72=0, "", I72 / E72)</f>
        <v>135</v>
      </c>
      <c r="L72" s="1">
        <f t="shared" si="143"/>
        <v>140</v>
      </c>
    </row>
    <row r="73">
      <c r="A73" s="1" t="str">
        <f>Data!B73</f>
        <v>Month3</v>
      </c>
      <c r="B73" s="1" t="str">
        <f>Data!C73</f>
        <v>S</v>
      </c>
      <c r="C73" s="1" t="str">
        <f>Data!D73</f>
        <v>Chennai</v>
      </c>
      <c r="D73" s="1" t="str">
        <f>Data!E73</f>
        <v>HappyGrow</v>
      </c>
      <c r="E73" s="1" t="str">
        <f>Data!F73</f>
        <v>15420</v>
      </c>
      <c r="F73" s="1" t="str">
        <f>Data!G73</f>
        <v>16808</v>
      </c>
      <c r="G73" s="1">
        <f t="shared" si="3"/>
        <v>60</v>
      </c>
      <c r="H73" s="1">
        <f t="shared" si="4"/>
        <v>70</v>
      </c>
      <c r="I73" s="1">
        <f t="shared" ref="I73:J73" si="144">E73 * G73</f>
        <v>925200</v>
      </c>
      <c r="J73" s="1">
        <f t="shared" si="144"/>
        <v>1176560</v>
      </c>
      <c r="K73" s="1">
        <f t="shared" ref="K73:L73" si="145">IF(E73=0, "", I73 / E73)</f>
        <v>60</v>
      </c>
      <c r="L73" s="1">
        <f t="shared" si="145"/>
        <v>70</v>
      </c>
    </row>
    <row r="74">
      <c r="A74" s="1" t="str">
        <f>Data!B74</f>
        <v>Month3</v>
      </c>
      <c r="B74" s="1" t="str">
        <f>Data!C74</f>
        <v>N</v>
      </c>
      <c r="C74" s="1" t="str">
        <f>Data!D74</f>
        <v>Mumbai</v>
      </c>
      <c r="D74" s="1" t="str">
        <f>Data!E74</f>
        <v>PowerSip</v>
      </c>
      <c r="E74" s="1" t="str">
        <f>Data!F74</f>
        <v>26907</v>
      </c>
      <c r="F74" s="1" t="str">
        <f>Data!G74</f>
        <v>31751</v>
      </c>
      <c r="G74" s="1">
        <f t="shared" si="3"/>
        <v>135</v>
      </c>
      <c r="H74" s="1">
        <f t="shared" si="4"/>
        <v>140</v>
      </c>
      <c r="I74" s="1">
        <f t="shared" ref="I74:J74" si="146">E74 * G74</f>
        <v>3632445</v>
      </c>
      <c r="J74" s="1">
        <f t="shared" si="146"/>
        <v>4445140</v>
      </c>
      <c r="K74" s="1">
        <f t="shared" ref="K74:L74" si="147">IF(E74=0, "", I74 / E74)</f>
        <v>135</v>
      </c>
      <c r="L74" s="1">
        <f t="shared" si="147"/>
        <v>140</v>
      </c>
    </row>
    <row r="75">
      <c r="A75" s="1" t="str">
        <f>Data!B75</f>
        <v>Month3</v>
      </c>
      <c r="B75" s="1" t="str">
        <f>Data!C75</f>
        <v>N</v>
      </c>
      <c r="C75" s="1" t="str">
        <f>Data!D75</f>
        <v>Mumbai</v>
      </c>
      <c r="D75" s="1" t="str">
        <f>Data!E75</f>
        <v>HappyGrow</v>
      </c>
      <c r="E75" s="1" t="str">
        <f>Data!F75</f>
        <v>26814</v>
      </c>
      <c r="F75" s="1" t="str">
        <f>Data!G75</f>
        <v>29228</v>
      </c>
      <c r="G75" s="1">
        <f t="shared" si="3"/>
        <v>60</v>
      </c>
      <c r="H75" s="1">
        <f t="shared" si="4"/>
        <v>70</v>
      </c>
      <c r="I75" s="1">
        <f t="shared" ref="I75:J75" si="148">E75 * G75</f>
        <v>1608840</v>
      </c>
      <c r="J75" s="1">
        <f t="shared" si="148"/>
        <v>2045960</v>
      </c>
      <c r="K75" s="1">
        <f t="shared" ref="K75:L75" si="149">IF(E75=0, "", I75 / E75)</f>
        <v>60</v>
      </c>
      <c r="L75" s="1">
        <f t="shared" si="149"/>
        <v>70</v>
      </c>
    </row>
    <row r="76">
      <c r="A76" s="1" t="str">
        <f>Data!B76</f>
        <v>Month3</v>
      </c>
      <c r="B76" s="1" t="str">
        <f>Data!C76</f>
        <v>E</v>
      </c>
      <c r="C76" s="1" t="str">
        <f>Data!D76</f>
        <v>Mumbai</v>
      </c>
      <c r="D76" s="1" t="str">
        <f>Data!E76</f>
        <v>PowerSip</v>
      </c>
      <c r="E76" s="1" t="str">
        <f>Data!F76</f>
        <v>15088</v>
      </c>
      <c r="F76" s="1" t="str">
        <f>Data!G76</f>
        <v>17804</v>
      </c>
      <c r="G76" s="1">
        <f t="shared" si="3"/>
        <v>135</v>
      </c>
      <c r="H76" s="1">
        <f t="shared" si="4"/>
        <v>140</v>
      </c>
      <c r="I76" s="1">
        <f t="shared" ref="I76:J76" si="150">E76 * G76</f>
        <v>2036880</v>
      </c>
      <c r="J76" s="1">
        <f t="shared" si="150"/>
        <v>2492560</v>
      </c>
      <c r="K76" s="1">
        <f t="shared" ref="K76:L76" si="151">IF(E76=0, "", I76 / E76)</f>
        <v>135</v>
      </c>
      <c r="L76" s="1">
        <f t="shared" si="151"/>
        <v>140</v>
      </c>
    </row>
    <row r="77">
      <c r="A77" s="1" t="str">
        <f>Data!B77</f>
        <v>Month3</v>
      </c>
      <c r="B77" s="1" t="str">
        <f>Data!C77</f>
        <v>E</v>
      </c>
      <c r="C77" s="1" t="str">
        <f>Data!D77</f>
        <v>Mumbai</v>
      </c>
      <c r="D77" s="1" t="str">
        <f>Data!E77</f>
        <v>HappyGrow</v>
      </c>
      <c r="E77" s="1" t="str">
        <f>Data!F77</f>
        <v>18724</v>
      </c>
      <c r="F77" s="1" t="str">
        <f>Data!G77</f>
        <v>20410</v>
      </c>
      <c r="G77" s="1">
        <f t="shared" si="3"/>
        <v>60</v>
      </c>
      <c r="H77" s="1">
        <f t="shared" si="4"/>
        <v>70</v>
      </c>
      <c r="I77" s="1">
        <f t="shared" ref="I77:J77" si="152">E77 * G77</f>
        <v>1123440</v>
      </c>
      <c r="J77" s="1">
        <f t="shared" si="152"/>
        <v>1428700</v>
      </c>
      <c r="K77" s="1">
        <f t="shared" ref="K77:L77" si="153">IF(E77=0, "", I77 / E77)</f>
        <v>60</v>
      </c>
      <c r="L77" s="1">
        <f t="shared" si="153"/>
        <v>70</v>
      </c>
    </row>
    <row r="78">
      <c r="A78" s="1" t="str">
        <f>Data!B78</f>
        <v>Month3</v>
      </c>
      <c r="B78" s="1" t="str">
        <f>Data!C78</f>
        <v>W</v>
      </c>
      <c r="C78" s="1" t="str">
        <f>Data!D78</f>
        <v>Mumbai</v>
      </c>
      <c r="D78" s="1" t="str">
        <f>Data!E78</f>
        <v>PowerSip</v>
      </c>
      <c r="E78" s="1" t="str">
        <f>Data!F78</f>
        <v>23639</v>
      </c>
      <c r="F78" s="1" t="str">
        <f>Data!G78</f>
        <v>27895</v>
      </c>
      <c r="G78" s="1">
        <f t="shared" si="3"/>
        <v>135</v>
      </c>
      <c r="H78" s="1">
        <f t="shared" si="4"/>
        <v>140</v>
      </c>
      <c r="I78" s="1">
        <f t="shared" ref="I78:J78" si="154">E78 * G78</f>
        <v>3191265</v>
      </c>
      <c r="J78" s="1">
        <f t="shared" si="154"/>
        <v>3905300</v>
      </c>
      <c r="K78" s="1">
        <f t="shared" ref="K78:L78" si="155">IF(E78=0, "", I78 / E78)</f>
        <v>135</v>
      </c>
      <c r="L78" s="1">
        <f t="shared" si="155"/>
        <v>140</v>
      </c>
    </row>
    <row r="79">
      <c r="A79" s="1" t="str">
        <f>Data!B79</f>
        <v>Month3</v>
      </c>
      <c r="B79" s="1" t="str">
        <f>Data!C79</f>
        <v>W</v>
      </c>
      <c r="C79" s="1" t="str">
        <f>Data!D79</f>
        <v>Mumbai</v>
      </c>
      <c r="D79" s="1" t="str">
        <f>Data!E79</f>
        <v>HappyGrow</v>
      </c>
      <c r="E79" s="1" t="str">
        <f>Data!F79</f>
        <v>13005</v>
      </c>
      <c r="F79" s="1" t="str">
        <f>Data!G79</f>
        <v>14306</v>
      </c>
      <c r="G79" s="1">
        <f t="shared" si="3"/>
        <v>60</v>
      </c>
      <c r="H79" s="1">
        <f t="shared" si="4"/>
        <v>70</v>
      </c>
      <c r="I79" s="1">
        <f t="shared" ref="I79:J79" si="156">E79 * G79</f>
        <v>780300</v>
      </c>
      <c r="J79" s="1">
        <f t="shared" si="156"/>
        <v>1001420</v>
      </c>
      <c r="K79" s="1">
        <f t="shared" ref="K79:L79" si="157">IF(E79=0, "", I79 / E79)</f>
        <v>60</v>
      </c>
      <c r="L79" s="1">
        <f t="shared" si="157"/>
        <v>70</v>
      </c>
    </row>
    <row r="80">
      <c r="A80" s="1" t="str">
        <f>Data!B80</f>
        <v>Month3</v>
      </c>
      <c r="B80" s="1" t="str">
        <f>Data!C80</f>
        <v>S</v>
      </c>
      <c r="C80" s="1" t="str">
        <f>Data!D80</f>
        <v>Mumbai</v>
      </c>
      <c r="D80" s="1" t="str">
        <f>Data!E80</f>
        <v>PowerSip</v>
      </c>
      <c r="E80" s="1" t="str">
        <f>Data!F80</f>
        <v>14595</v>
      </c>
      <c r="F80" s="1" t="str">
        <f>Data!G80</f>
        <v>17369</v>
      </c>
      <c r="G80" s="1">
        <f t="shared" si="3"/>
        <v>135</v>
      </c>
      <c r="H80" s="1">
        <f t="shared" si="4"/>
        <v>140</v>
      </c>
      <c r="I80" s="1">
        <f t="shared" ref="I80:J80" si="158">E80 * G80</f>
        <v>1970325</v>
      </c>
      <c r="J80" s="1">
        <f t="shared" si="158"/>
        <v>2431660</v>
      </c>
      <c r="K80" s="1">
        <f t="shared" ref="K80:L80" si="159">IF(E80=0, "", I80 / E80)</f>
        <v>135</v>
      </c>
      <c r="L80" s="1">
        <f t="shared" si="159"/>
        <v>140</v>
      </c>
    </row>
    <row r="81">
      <c r="A81" s="1" t="str">
        <f>Data!B81</f>
        <v>Month3</v>
      </c>
      <c r="B81" s="1" t="str">
        <f>Data!C81</f>
        <v>S</v>
      </c>
      <c r="C81" s="1" t="str">
        <f>Data!D81</f>
        <v>Mumbai</v>
      </c>
      <c r="D81" s="1" t="str">
        <f>Data!E81</f>
        <v>HappyGrow</v>
      </c>
      <c r="E81" s="1" t="str">
        <f>Data!F81</f>
        <v>15547</v>
      </c>
      <c r="F81" s="1" t="str">
        <f>Data!G81</f>
        <v>17258</v>
      </c>
      <c r="G81" s="1">
        <f t="shared" si="3"/>
        <v>60</v>
      </c>
      <c r="H81" s="1">
        <f t="shared" si="4"/>
        <v>70</v>
      </c>
      <c r="I81" s="1">
        <f t="shared" ref="I81:J81" si="160">E81 * G81</f>
        <v>932820</v>
      </c>
      <c r="J81" s="1">
        <f t="shared" si="160"/>
        <v>1208060</v>
      </c>
      <c r="K81" s="1">
        <f t="shared" ref="K81:L81" si="161">IF(E81=0, "", I81 / E81)</f>
        <v>60</v>
      </c>
      <c r="L81" s="1">
        <f t="shared" si="161"/>
        <v>70</v>
      </c>
    </row>
    <row r="82">
      <c r="A82" s="1" t="str">
        <f>Data!B82</f>
        <v>Month3</v>
      </c>
      <c r="B82" s="1" t="str">
        <f>Data!C82</f>
        <v>N</v>
      </c>
      <c r="C82" s="1" t="str">
        <f>Data!D82</f>
        <v>Bengaluru</v>
      </c>
      <c r="D82" s="1" t="str">
        <f>Data!E82</f>
        <v>PowerSip</v>
      </c>
      <c r="E82" s="1" t="str">
        <f>Data!F82</f>
        <v>25743</v>
      </c>
      <c r="F82" s="1" t="str">
        <f>Data!G82</f>
        <v>30635</v>
      </c>
      <c r="G82" s="1">
        <f t="shared" si="3"/>
        <v>135</v>
      </c>
      <c r="H82" s="1">
        <f t="shared" si="4"/>
        <v>140</v>
      </c>
      <c r="I82" s="1">
        <f t="shared" ref="I82:J82" si="162">E82 * G82</f>
        <v>3475305</v>
      </c>
      <c r="J82" s="1">
        <f t="shared" si="162"/>
        <v>4288900</v>
      </c>
      <c r="K82" s="1">
        <f t="shared" ref="K82:L82" si="163">IF(E82=0, "", I82 / E82)</f>
        <v>135</v>
      </c>
      <c r="L82" s="1">
        <f t="shared" si="163"/>
        <v>140</v>
      </c>
    </row>
    <row r="83">
      <c r="A83" s="1" t="str">
        <f>Data!B83</f>
        <v>Month3</v>
      </c>
      <c r="B83" s="1" t="str">
        <f>Data!C83</f>
        <v>N</v>
      </c>
      <c r="C83" s="1" t="str">
        <f>Data!D83</f>
        <v>Bengaluru</v>
      </c>
      <c r="D83" s="1" t="str">
        <f>Data!E83</f>
        <v>HappyGrow</v>
      </c>
      <c r="E83" s="1" t="str">
        <f>Data!F83</f>
        <v>21308</v>
      </c>
      <c r="F83" s="1" t="str">
        <f>Data!G83</f>
        <v>23652</v>
      </c>
      <c r="G83" s="1">
        <f t="shared" si="3"/>
        <v>60</v>
      </c>
      <c r="H83" s="1">
        <f t="shared" si="4"/>
        <v>70</v>
      </c>
      <c r="I83" s="1">
        <f t="shared" ref="I83:J83" si="164">E83 * G83</f>
        <v>1278480</v>
      </c>
      <c r="J83" s="1">
        <f t="shared" si="164"/>
        <v>1655640</v>
      </c>
      <c r="K83" s="1">
        <f t="shared" ref="K83:L83" si="165">IF(E83=0, "", I83 / E83)</f>
        <v>60</v>
      </c>
      <c r="L83" s="1">
        <f t="shared" si="165"/>
        <v>70</v>
      </c>
    </row>
    <row r="84">
      <c r="A84" s="1" t="str">
        <f>Data!B84</f>
        <v>Month3</v>
      </c>
      <c r="B84" s="1" t="str">
        <f>Data!C84</f>
        <v>E</v>
      </c>
      <c r="C84" s="1" t="str">
        <f>Data!D84</f>
        <v>Bengaluru</v>
      </c>
      <c r="D84" s="1" t="str">
        <f>Data!E84</f>
        <v>PowerSip</v>
      </c>
      <c r="E84" s="1" t="str">
        <f>Data!F84</f>
        <v>29101</v>
      </c>
      <c r="F84" s="1" t="str">
        <f>Data!G84</f>
        <v>34631</v>
      </c>
      <c r="G84" s="1">
        <f t="shared" si="3"/>
        <v>135</v>
      </c>
      <c r="H84" s="1">
        <f t="shared" si="4"/>
        <v>140</v>
      </c>
      <c r="I84" s="1">
        <f t="shared" ref="I84:J84" si="166">E84 * G84</f>
        <v>3928635</v>
      </c>
      <c r="J84" s="1">
        <f t="shared" si="166"/>
        <v>4848340</v>
      </c>
      <c r="K84" s="1">
        <f t="shared" ref="K84:L84" si="167">IF(E84=0, "", I84 / E84)</f>
        <v>135</v>
      </c>
      <c r="L84" s="1">
        <f t="shared" si="167"/>
        <v>140</v>
      </c>
    </row>
    <row r="85">
      <c r="A85" s="1" t="str">
        <f>Data!B85</f>
        <v>Month3</v>
      </c>
      <c r="B85" s="1" t="str">
        <f>Data!C85</f>
        <v>E</v>
      </c>
      <c r="C85" s="1" t="str">
        <f>Data!D85</f>
        <v>Bengaluru</v>
      </c>
      <c r="D85" s="1" t="str">
        <f>Data!E85</f>
        <v>HappyGrow</v>
      </c>
      <c r="E85" s="1" t="str">
        <f>Data!F85</f>
        <v>17325</v>
      </c>
      <c r="F85" s="1" t="str">
        <f>Data!G85</f>
        <v>19231</v>
      </c>
      <c r="G85" s="1">
        <f t="shared" si="3"/>
        <v>60</v>
      </c>
      <c r="H85" s="1">
        <f t="shared" si="4"/>
        <v>70</v>
      </c>
      <c r="I85" s="1">
        <f t="shared" ref="I85:J85" si="168">E85 * G85</f>
        <v>1039500</v>
      </c>
      <c r="J85" s="1">
        <f t="shared" si="168"/>
        <v>1346170</v>
      </c>
      <c r="K85" s="1">
        <f t="shared" ref="K85:L85" si="169">IF(E85=0, "", I85 / E85)</f>
        <v>60</v>
      </c>
      <c r="L85" s="1">
        <f t="shared" si="169"/>
        <v>70</v>
      </c>
    </row>
    <row r="86">
      <c r="A86" s="1" t="str">
        <f>Data!B86</f>
        <v>Month3</v>
      </c>
      <c r="B86" s="1" t="str">
        <f>Data!C86</f>
        <v>W</v>
      </c>
      <c r="C86" s="1" t="str">
        <f>Data!D86</f>
        <v>Bengaluru</v>
      </c>
      <c r="D86" s="1" t="str">
        <f>Data!E86</f>
        <v>PowerSip</v>
      </c>
      <c r="E86" s="1" t="str">
        <f>Data!F86</f>
        <v>21579</v>
      </c>
      <c r="F86" s="1" t="str">
        <f>Data!G86</f>
        <v>25895</v>
      </c>
      <c r="G86" s="1">
        <f t="shared" si="3"/>
        <v>135</v>
      </c>
      <c r="H86" s="1">
        <f t="shared" si="4"/>
        <v>140</v>
      </c>
      <c r="I86" s="1">
        <f t="shared" ref="I86:J86" si="170">E86 * G86</f>
        <v>2913165</v>
      </c>
      <c r="J86" s="1">
        <f t="shared" si="170"/>
        <v>3625300</v>
      </c>
      <c r="K86" s="1">
        <f t="shared" ref="K86:L86" si="171">IF(E86=0, "", I86 / E86)</f>
        <v>135</v>
      </c>
      <c r="L86" s="1">
        <f t="shared" si="171"/>
        <v>140</v>
      </c>
    </row>
    <row r="87">
      <c r="A87" s="1" t="str">
        <f>Data!B87</f>
        <v>Month3</v>
      </c>
      <c r="B87" s="1" t="str">
        <f>Data!C87</f>
        <v>W</v>
      </c>
      <c r="C87" s="1" t="str">
        <f>Data!D87</f>
        <v>Bengaluru</v>
      </c>
      <c r="D87" s="1" t="str">
        <f>Data!E87</f>
        <v>HappyGrow</v>
      </c>
      <c r="E87" s="1" t="str">
        <f>Data!F87</f>
        <v>16140</v>
      </c>
      <c r="F87" s="1" t="str">
        <f>Data!G87</f>
        <v>17916</v>
      </c>
      <c r="G87" s="1">
        <f t="shared" si="3"/>
        <v>60</v>
      </c>
      <c r="H87" s="1">
        <f t="shared" si="4"/>
        <v>70</v>
      </c>
      <c r="I87" s="1">
        <f t="shared" ref="I87:J87" si="172">E87 * G87</f>
        <v>968400</v>
      </c>
      <c r="J87" s="1">
        <f t="shared" si="172"/>
        <v>1254120</v>
      </c>
      <c r="K87" s="1">
        <f t="shared" ref="K87:L87" si="173">IF(E87=0, "", I87 / E87)</f>
        <v>60</v>
      </c>
      <c r="L87" s="1">
        <f t="shared" si="173"/>
        <v>70</v>
      </c>
    </row>
    <row r="88">
      <c r="A88" s="1" t="str">
        <f>Data!B88</f>
        <v>Month3</v>
      </c>
      <c r="B88" s="1" t="str">
        <f>Data!C88</f>
        <v>S</v>
      </c>
      <c r="C88" s="1" t="str">
        <f>Data!D88</f>
        <v>Bengaluru</v>
      </c>
      <c r="D88" s="1" t="str">
        <f>Data!E88</f>
        <v>PowerSip</v>
      </c>
      <c r="E88" s="1" t="str">
        <f>Data!F88</f>
        <v>29817</v>
      </c>
      <c r="F88" s="1" t="str">
        <f>Data!G88</f>
        <v>35781</v>
      </c>
      <c r="G88" s="1">
        <f t="shared" si="3"/>
        <v>135</v>
      </c>
      <c r="H88" s="1">
        <f t="shared" si="4"/>
        <v>140</v>
      </c>
      <c r="I88" s="1">
        <f t="shared" ref="I88:J88" si="174">E88 * G88</f>
        <v>4025295</v>
      </c>
      <c r="J88" s="1">
        <f t="shared" si="174"/>
        <v>5009340</v>
      </c>
      <c r="K88" s="1">
        <f t="shared" ref="K88:L88" si="175">IF(E88=0, "", I88 / E88)</f>
        <v>135</v>
      </c>
      <c r="L88" s="1">
        <f t="shared" si="175"/>
        <v>140</v>
      </c>
    </row>
    <row r="89">
      <c r="A89" s="1" t="str">
        <f>Data!B89</f>
        <v>Month3</v>
      </c>
      <c r="B89" s="1" t="str">
        <f>Data!C89</f>
        <v>S</v>
      </c>
      <c r="C89" s="1" t="str">
        <f>Data!D89</f>
        <v>Bengaluru</v>
      </c>
      <c r="D89" s="1" t="str">
        <f>Data!E89</f>
        <v>HappyGrow</v>
      </c>
      <c r="E89" s="1" t="str">
        <f>Data!F89</f>
        <v>28466</v>
      </c>
      <c r="F89" s="1" t="str">
        <f>Data!G89</f>
        <v>31598</v>
      </c>
      <c r="G89" s="1">
        <f t="shared" si="3"/>
        <v>60</v>
      </c>
      <c r="H89" s="1">
        <f t="shared" si="4"/>
        <v>70</v>
      </c>
      <c r="I89" s="1">
        <f t="shared" ref="I89:J89" si="176">E89 * G89</f>
        <v>1707960</v>
      </c>
      <c r="J89" s="1">
        <f t="shared" si="176"/>
        <v>2211860</v>
      </c>
      <c r="K89" s="1">
        <f t="shared" ref="K89:L89" si="177">IF(E89=0, "", I89 / E89)</f>
        <v>60</v>
      </c>
      <c r="L89" s="1">
        <f t="shared" si="177"/>
        <v>70</v>
      </c>
    </row>
    <row r="90">
      <c r="A90" s="1" t="str">
        <f>Data!B90</f>
        <v>Month3</v>
      </c>
      <c r="B90" s="1" t="str">
        <f>Data!C90</f>
        <v>N</v>
      </c>
      <c r="C90" s="1" t="str">
        <f>Data!D90</f>
        <v>Delhi</v>
      </c>
      <c r="D90" s="1" t="str">
        <f>Data!E90</f>
        <v>PowerSip</v>
      </c>
      <c r="E90" s="1" t="str">
        <f>Data!F90</f>
        <v>23997</v>
      </c>
      <c r="F90" s="1" t="str">
        <f>Data!G90</f>
        <v>28797</v>
      </c>
      <c r="G90" s="1">
        <f t="shared" si="3"/>
        <v>135</v>
      </c>
      <c r="H90" s="1">
        <f t="shared" si="4"/>
        <v>140</v>
      </c>
      <c r="I90" s="1">
        <f t="shared" ref="I90:J90" si="178">E90 * G90</f>
        <v>3239595</v>
      </c>
      <c r="J90" s="1">
        <f t="shared" si="178"/>
        <v>4031580</v>
      </c>
      <c r="K90" s="1">
        <f t="shared" ref="K90:L90" si="179">IF(E90=0, "", I90 / E90)</f>
        <v>135</v>
      </c>
      <c r="L90" s="1">
        <f t="shared" si="179"/>
        <v>140</v>
      </c>
    </row>
    <row r="91">
      <c r="A91" s="1" t="str">
        <f>Data!B91</f>
        <v>Month3</v>
      </c>
      <c r="B91" s="1" t="str">
        <f>Data!C91</f>
        <v>N</v>
      </c>
      <c r="C91" s="1" t="str">
        <f>Data!D91</f>
        <v>Delhi</v>
      </c>
      <c r="D91" s="1" t="str">
        <f>Data!E91</f>
        <v>HappyGrow</v>
      </c>
      <c r="E91" s="1" t="str">
        <f>Data!F91</f>
        <v>14106</v>
      </c>
      <c r="F91" s="1" t="str">
        <f>Data!G91</f>
        <v>15799</v>
      </c>
      <c r="G91" s="1">
        <f t="shared" si="3"/>
        <v>60</v>
      </c>
      <c r="H91" s="1">
        <f t="shared" si="4"/>
        <v>70</v>
      </c>
      <c r="I91" s="1">
        <f t="shared" ref="I91:J91" si="180">E91 * G91</f>
        <v>846360</v>
      </c>
      <c r="J91" s="1">
        <f t="shared" si="180"/>
        <v>1105930</v>
      </c>
      <c r="K91" s="1">
        <f t="shared" ref="K91:L91" si="181">IF(E91=0, "", I91 / E91)</f>
        <v>60</v>
      </c>
      <c r="L91" s="1">
        <f t="shared" si="181"/>
        <v>70</v>
      </c>
    </row>
    <row r="92">
      <c r="A92" s="1" t="str">
        <f>Data!B92</f>
        <v>Month3</v>
      </c>
      <c r="B92" s="1" t="str">
        <f>Data!C92</f>
        <v>E</v>
      </c>
      <c r="C92" s="1" t="str">
        <f>Data!D92</f>
        <v>Delhi</v>
      </c>
      <c r="D92" s="1" t="str">
        <f>Data!E92</f>
        <v>PowerSip</v>
      </c>
      <c r="E92" s="1" t="str">
        <f>Data!F92</f>
        <v>26101</v>
      </c>
      <c r="F92" s="1" t="str">
        <f>Data!G92</f>
        <v>31583</v>
      </c>
      <c r="G92" s="1">
        <f t="shared" si="3"/>
        <v>135</v>
      </c>
      <c r="H92" s="1">
        <f t="shared" si="4"/>
        <v>140</v>
      </c>
      <c r="I92" s="1">
        <f t="shared" ref="I92:J92" si="182">E92 * G92</f>
        <v>3523635</v>
      </c>
      <c r="J92" s="1">
        <f t="shared" si="182"/>
        <v>4421620</v>
      </c>
      <c r="K92" s="1">
        <f t="shared" ref="K92:L92" si="183">IF(E92=0, "", I92 / E92)</f>
        <v>135</v>
      </c>
      <c r="L92" s="1">
        <f t="shared" si="183"/>
        <v>140</v>
      </c>
    </row>
    <row r="93">
      <c r="A93" s="1" t="str">
        <f>Data!B93</f>
        <v>Month3</v>
      </c>
      <c r="B93" s="1" t="str">
        <f>Data!C93</f>
        <v>E</v>
      </c>
      <c r="C93" s="1" t="str">
        <f>Data!D93</f>
        <v>Delhi</v>
      </c>
      <c r="D93" s="1" t="str">
        <f>Data!E93</f>
        <v>HappyGrow</v>
      </c>
      <c r="E93" s="1" t="str">
        <f>Data!F93</f>
        <v>15250</v>
      </c>
      <c r="F93" s="1" t="str">
        <f>Data!G93</f>
        <v>17080</v>
      </c>
      <c r="G93" s="1">
        <f t="shared" si="3"/>
        <v>60</v>
      </c>
      <c r="H93" s="1">
        <f t="shared" si="4"/>
        <v>70</v>
      </c>
      <c r="I93" s="1">
        <f t="shared" ref="I93:J93" si="184">E93 * G93</f>
        <v>915000</v>
      </c>
      <c r="J93" s="1">
        <f t="shared" si="184"/>
        <v>1195600</v>
      </c>
      <c r="K93" s="1">
        <f t="shared" ref="K93:L93" si="185">IF(E93=0, "", I93 / E93)</f>
        <v>60</v>
      </c>
      <c r="L93" s="1">
        <f t="shared" si="185"/>
        <v>70</v>
      </c>
    </row>
    <row r="94">
      <c r="A94" s="1" t="str">
        <f>Data!B94</f>
        <v>Month3</v>
      </c>
      <c r="B94" s="1" t="str">
        <f>Data!C94</f>
        <v>W</v>
      </c>
      <c r="C94" s="1" t="str">
        <f>Data!D94</f>
        <v>Delhi</v>
      </c>
      <c r="D94" s="1" t="str">
        <f>Data!E94</f>
        <v>PowerSip</v>
      </c>
      <c r="E94" s="1" t="str">
        <f>Data!F94</f>
        <v>24310</v>
      </c>
      <c r="F94" s="1" t="str">
        <f>Data!G94</f>
        <v>29416</v>
      </c>
      <c r="G94" s="1">
        <f t="shared" si="3"/>
        <v>135</v>
      </c>
      <c r="H94" s="1">
        <f t="shared" si="4"/>
        <v>140</v>
      </c>
      <c r="I94" s="1">
        <f t="shared" ref="I94:J94" si="186">E94 * G94</f>
        <v>3281850</v>
      </c>
      <c r="J94" s="1">
        <f t="shared" si="186"/>
        <v>4118240</v>
      </c>
      <c r="K94" s="1">
        <f t="shared" ref="K94:L94" si="187">IF(E94=0, "", I94 / E94)</f>
        <v>135</v>
      </c>
      <c r="L94" s="1">
        <f t="shared" si="187"/>
        <v>140</v>
      </c>
    </row>
    <row r="95">
      <c r="A95" s="1" t="str">
        <f>Data!B95</f>
        <v>Month3</v>
      </c>
      <c r="B95" s="1" t="str">
        <f>Data!C95</f>
        <v>W</v>
      </c>
      <c r="C95" s="1" t="str">
        <f>Data!D95</f>
        <v>Delhi</v>
      </c>
      <c r="D95" s="1" t="str">
        <f>Data!E95</f>
        <v>HappyGrow</v>
      </c>
      <c r="E95" s="1" t="str">
        <f>Data!F95</f>
        <v>17453</v>
      </c>
      <c r="F95" s="1" t="str">
        <f>Data!G95</f>
        <v>19548</v>
      </c>
      <c r="G95" s="1">
        <f t="shared" si="3"/>
        <v>60</v>
      </c>
      <c r="H95" s="1">
        <f t="shared" si="4"/>
        <v>70</v>
      </c>
      <c r="I95" s="1">
        <f t="shared" ref="I95:J95" si="188">E95 * G95</f>
        <v>1047180</v>
      </c>
      <c r="J95" s="1">
        <f t="shared" si="188"/>
        <v>1368360</v>
      </c>
      <c r="K95" s="1">
        <f t="shared" ref="K95:L95" si="189">IF(E95=0, "", I95 / E95)</f>
        <v>60</v>
      </c>
      <c r="L95" s="1">
        <f t="shared" si="189"/>
        <v>70</v>
      </c>
    </row>
    <row r="96">
      <c r="A96" s="1" t="str">
        <f>Data!B96</f>
        <v>Month3</v>
      </c>
      <c r="B96" s="1" t="str">
        <f>Data!C96</f>
        <v>S</v>
      </c>
      <c r="C96" s="1" t="str">
        <f>Data!D96</f>
        <v>Delhi</v>
      </c>
      <c r="D96" s="1" t="str">
        <f>Data!E96</f>
        <v>PowerSip</v>
      </c>
      <c r="E96" s="1" t="str">
        <f>Data!F96</f>
        <v>20953</v>
      </c>
      <c r="F96" s="1" t="str">
        <f>Data!G96</f>
        <v>25354</v>
      </c>
      <c r="G96" s="1">
        <f t="shared" si="3"/>
        <v>135</v>
      </c>
      <c r="H96" s="1">
        <f t="shared" si="4"/>
        <v>140</v>
      </c>
      <c r="I96" s="1">
        <f t="shared" ref="I96:J96" si="190">E96 * G96</f>
        <v>2828655</v>
      </c>
      <c r="J96" s="1">
        <f t="shared" si="190"/>
        <v>3549560</v>
      </c>
      <c r="K96" s="1">
        <f t="shared" ref="K96:L96" si="191">IF(E96=0, "", I96 / E96)</f>
        <v>135</v>
      </c>
      <c r="L96" s="1">
        <f t="shared" si="191"/>
        <v>140</v>
      </c>
    </row>
    <row r="97">
      <c r="A97" s="1" t="str">
        <f>Data!B97</f>
        <v>Month3</v>
      </c>
      <c r="B97" s="1" t="str">
        <f>Data!C97</f>
        <v>S</v>
      </c>
      <c r="C97" s="1" t="str">
        <f>Data!D97</f>
        <v>Delhi</v>
      </c>
      <c r="D97" s="1" t="str">
        <f>Data!E97</f>
        <v>HappyGrow</v>
      </c>
      <c r="E97" s="1" t="str">
        <f>Data!F97</f>
        <v>26180</v>
      </c>
      <c r="F97" s="1" t="str">
        <f>Data!G97</f>
        <v>29322</v>
      </c>
      <c r="G97" s="1">
        <f t="shared" si="3"/>
        <v>60</v>
      </c>
      <c r="H97" s="1">
        <f t="shared" si="4"/>
        <v>70</v>
      </c>
      <c r="I97" s="1">
        <f t="shared" ref="I97:J97" si="192">E97 * G97</f>
        <v>1570800</v>
      </c>
      <c r="J97" s="1">
        <f t="shared" si="192"/>
        <v>2052540</v>
      </c>
      <c r="K97" s="1">
        <f t="shared" ref="K97:L97" si="193">IF(E97=0, "", I97 / E97)</f>
        <v>60</v>
      </c>
      <c r="L97" s="1">
        <f t="shared" si="193"/>
        <v>70</v>
      </c>
    </row>
    <row r="98">
      <c r="A98" s="1" t="str">
        <f>Data!B98</f>
        <v>Month4</v>
      </c>
      <c r="B98" s="1" t="str">
        <f>Data!C98</f>
        <v>N</v>
      </c>
      <c r="C98" s="1" t="str">
        <f>Data!D98</f>
        <v>Chennai</v>
      </c>
      <c r="D98" s="1" t="str">
        <f>Data!E98</f>
        <v>PowerSip</v>
      </c>
      <c r="E98" s="1" t="str">
        <f>Data!F98</f>
        <v>28613</v>
      </c>
      <c r="F98" s="1" t="str">
        <f>Data!G98</f>
        <v>34908</v>
      </c>
      <c r="G98" s="1">
        <f t="shared" si="3"/>
        <v>135</v>
      </c>
      <c r="H98" s="1">
        <f t="shared" si="4"/>
        <v>140</v>
      </c>
      <c r="I98" s="1">
        <f t="shared" ref="I98:J98" si="194">E98 * G98</f>
        <v>3862755</v>
      </c>
      <c r="J98" s="1">
        <f t="shared" si="194"/>
        <v>4887120</v>
      </c>
      <c r="K98" s="1">
        <f t="shared" ref="K98:L98" si="195">IF(E98=0, "", I98 / E98)</f>
        <v>135</v>
      </c>
      <c r="L98" s="1">
        <f t="shared" si="195"/>
        <v>140</v>
      </c>
    </row>
    <row r="99">
      <c r="A99" s="1" t="str">
        <f>Data!B99</f>
        <v>Month4</v>
      </c>
      <c r="B99" s="1" t="str">
        <f>Data!C99</f>
        <v>N</v>
      </c>
      <c r="C99" s="1" t="str">
        <f>Data!D99</f>
        <v>Chennai</v>
      </c>
      <c r="D99" s="1" t="str">
        <f>Data!E99</f>
        <v>HappyGrow</v>
      </c>
      <c r="E99" s="1" t="str">
        <f>Data!F99</f>
        <v>20397</v>
      </c>
      <c r="F99" s="1" t="str">
        <f>Data!G99</f>
        <v>23049</v>
      </c>
      <c r="G99" s="1">
        <f t="shared" si="3"/>
        <v>60</v>
      </c>
      <c r="H99" s="1">
        <f t="shared" si="4"/>
        <v>70</v>
      </c>
      <c r="I99" s="1">
        <f t="shared" ref="I99:J99" si="196">E99 * G99</f>
        <v>1223820</v>
      </c>
      <c r="J99" s="1">
        <f t="shared" si="196"/>
        <v>1613430</v>
      </c>
      <c r="K99" s="1">
        <f t="shared" ref="K99:L99" si="197">IF(E99=0, "", I99 / E99)</f>
        <v>60</v>
      </c>
      <c r="L99" s="1">
        <f t="shared" si="197"/>
        <v>70</v>
      </c>
    </row>
    <row r="100">
      <c r="A100" s="1" t="str">
        <f>Data!B100</f>
        <v>Month4</v>
      </c>
      <c r="B100" s="1" t="str">
        <f>Data!C100</f>
        <v>E</v>
      </c>
      <c r="C100" s="1" t="str">
        <f>Data!D100</f>
        <v>Chennai</v>
      </c>
      <c r="D100" s="1" t="str">
        <f>Data!E100</f>
        <v>PowerSip</v>
      </c>
      <c r="E100" s="1" t="str">
        <f>Data!F100</f>
        <v>15267</v>
      </c>
      <c r="F100" s="1" t="str">
        <f>Data!G100</f>
        <v>18626</v>
      </c>
      <c r="G100" s="1">
        <f t="shared" si="3"/>
        <v>135</v>
      </c>
      <c r="H100" s="1">
        <f t="shared" si="4"/>
        <v>140</v>
      </c>
      <c r="I100" s="1">
        <f t="shared" ref="I100:J100" si="198">E100 * G100</f>
        <v>2061045</v>
      </c>
      <c r="J100" s="1">
        <f t="shared" si="198"/>
        <v>2607640</v>
      </c>
      <c r="K100" s="1">
        <f t="shared" ref="K100:L100" si="199">IF(E100=0, "", I100 / E100)</f>
        <v>135</v>
      </c>
      <c r="L100" s="1">
        <f t="shared" si="199"/>
        <v>140</v>
      </c>
    </row>
    <row r="101">
      <c r="A101" s="1" t="str">
        <f>Data!B101</f>
        <v>Month4</v>
      </c>
      <c r="B101" s="1" t="str">
        <f>Data!C101</f>
        <v>E</v>
      </c>
      <c r="C101" s="1" t="str">
        <f>Data!D101</f>
        <v>Chennai</v>
      </c>
      <c r="D101" s="1" t="str">
        <f>Data!E101</f>
        <v>HappyGrow</v>
      </c>
      <c r="E101" s="1" t="str">
        <f>Data!F101</f>
        <v>27377</v>
      </c>
      <c r="F101" s="1" t="str">
        <f>Data!G101</f>
        <v>30937</v>
      </c>
      <c r="G101" s="1">
        <f t="shared" si="3"/>
        <v>60</v>
      </c>
      <c r="H101" s="1">
        <f t="shared" si="4"/>
        <v>70</v>
      </c>
      <c r="I101" s="1">
        <f t="shared" ref="I101:J101" si="200">E101 * G101</f>
        <v>1642620</v>
      </c>
      <c r="J101" s="1">
        <f t="shared" si="200"/>
        <v>2165590</v>
      </c>
      <c r="K101" s="1">
        <f t="shared" ref="K101:L101" si="201">IF(E101=0, "", I101 / E101)</f>
        <v>60</v>
      </c>
      <c r="L101" s="1">
        <f t="shared" si="201"/>
        <v>70</v>
      </c>
    </row>
    <row r="102">
      <c r="A102" s="1" t="str">
        <f>Data!B102</f>
        <v>Month4</v>
      </c>
      <c r="B102" s="1" t="str">
        <f>Data!C102</f>
        <v>W</v>
      </c>
      <c r="C102" s="1" t="str">
        <f>Data!D102</f>
        <v>Chennai</v>
      </c>
      <c r="D102" s="1" t="str">
        <f>Data!E102</f>
        <v>PowerSip</v>
      </c>
      <c r="E102" s="1" t="str">
        <f>Data!F102</f>
        <v>18271</v>
      </c>
      <c r="F102" s="1" t="str">
        <f>Data!G102</f>
        <v>22291</v>
      </c>
      <c r="G102" s="1">
        <f t="shared" si="3"/>
        <v>135</v>
      </c>
      <c r="H102" s="1">
        <f t="shared" si="4"/>
        <v>140</v>
      </c>
      <c r="I102" s="1">
        <f t="shared" ref="I102:J102" si="202">E102 * G102</f>
        <v>2466585</v>
      </c>
      <c r="J102" s="1">
        <f t="shared" si="202"/>
        <v>3120740</v>
      </c>
      <c r="K102" s="1">
        <f t="shared" ref="K102:L102" si="203">IF(E102=0, "", I102 / E102)</f>
        <v>135</v>
      </c>
      <c r="L102" s="1">
        <f t="shared" si="203"/>
        <v>140</v>
      </c>
    </row>
    <row r="103">
      <c r="A103" s="1" t="str">
        <f>Data!B103</f>
        <v>Month4</v>
      </c>
      <c r="B103" s="1" t="str">
        <f>Data!C103</f>
        <v>W</v>
      </c>
      <c r="C103" s="1" t="str">
        <f>Data!D103</f>
        <v>Chennai</v>
      </c>
      <c r="D103" s="1" t="str">
        <f>Data!E103</f>
        <v>HappyGrow</v>
      </c>
      <c r="E103" s="1" t="str">
        <f>Data!F103</f>
        <v>19354</v>
      </c>
      <c r="F103" s="1" t="str">
        <f>Data!G103</f>
        <v>21871</v>
      </c>
      <c r="G103" s="1">
        <f t="shared" si="3"/>
        <v>60</v>
      </c>
      <c r="H103" s="1">
        <f t="shared" si="4"/>
        <v>70</v>
      </c>
      <c r="I103" s="1">
        <f t="shared" ref="I103:J103" si="204">E103 * G103</f>
        <v>1161240</v>
      </c>
      <c r="J103" s="1">
        <f t="shared" si="204"/>
        <v>1530970</v>
      </c>
      <c r="K103" s="1">
        <f t="shared" ref="K103:L103" si="205">IF(E103=0, "", I103 / E103)</f>
        <v>60</v>
      </c>
      <c r="L103" s="1">
        <f t="shared" si="205"/>
        <v>70</v>
      </c>
    </row>
    <row r="104">
      <c r="A104" s="1" t="str">
        <f>Data!B104</f>
        <v>Month4</v>
      </c>
      <c r="B104" s="1" t="str">
        <f>Data!C104</f>
        <v>S</v>
      </c>
      <c r="C104" s="1" t="str">
        <f>Data!D104</f>
        <v>Chennai</v>
      </c>
      <c r="D104" s="1" t="str">
        <f>Data!E104</f>
        <v>PowerSip</v>
      </c>
      <c r="E104" s="1" t="str">
        <f>Data!F104</f>
        <v>33045</v>
      </c>
      <c r="F104" s="1" t="str">
        <f>Data!G104</f>
        <v>40646</v>
      </c>
      <c r="G104" s="1">
        <f t="shared" si="3"/>
        <v>135</v>
      </c>
      <c r="H104" s="1">
        <f t="shared" si="4"/>
        <v>140</v>
      </c>
      <c r="I104" s="1">
        <f t="shared" ref="I104:J104" si="206">E104 * G104</f>
        <v>4461075</v>
      </c>
      <c r="J104" s="1">
        <f t="shared" si="206"/>
        <v>5690440</v>
      </c>
      <c r="K104" s="1">
        <f t="shared" ref="K104:L104" si="207">IF(E104=0, "", I104 / E104)</f>
        <v>135</v>
      </c>
      <c r="L104" s="1">
        <f t="shared" si="207"/>
        <v>140</v>
      </c>
    </row>
    <row r="105">
      <c r="A105" s="1" t="str">
        <f>Data!B105</f>
        <v>Month4</v>
      </c>
      <c r="B105" s="1" t="str">
        <f>Data!C105</f>
        <v>S</v>
      </c>
      <c r="C105" s="1" t="str">
        <f>Data!D105</f>
        <v>Chennai</v>
      </c>
      <c r="D105" s="1" t="str">
        <f>Data!E105</f>
        <v>HappyGrow</v>
      </c>
      <c r="E105" s="1" t="str">
        <f>Data!F105</f>
        <v>16499</v>
      </c>
      <c r="F105" s="1" t="str">
        <f>Data!G105</f>
        <v>18644</v>
      </c>
      <c r="G105" s="1">
        <f t="shared" si="3"/>
        <v>60</v>
      </c>
      <c r="H105" s="1">
        <f t="shared" si="4"/>
        <v>70</v>
      </c>
      <c r="I105" s="1">
        <f t="shared" ref="I105:J105" si="208">E105 * G105</f>
        <v>989940</v>
      </c>
      <c r="J105" s="1">
        <f t="shared" si="208"/>
        <v>1305080</v>
      </c>
      <c r="K105" s="1">
        <f t="shared" ref="K105:L105" si="209">IF(E105=0, "", I105 / E105)</f>
        <v>60</v>
      </c>
      <c r="L105" s="1">
        <f t="shared" si="209"/>
        <v>70</v>
      </c>
    </row>
    <row r="106">
      <c r="A106" s="1" t="str">
        <f>Data!B106</f>
        <v>Month4</v>
      </c>
      <c r="B106" s="1" t="str">
        <f>Data!C106</f>
        <v>N</v>
      </c>
      <c r="C106" s="1" t="str">
        <f>Data!D106</f>
        <v>Mumbai</v>
      </c>
      <c r="D106" s="1" t="str">
        <f>Data!E106</f>
        <v>PowerSip</v>
      </c>
      <c r="E106" s="1" t="str">
        <f>Data!F106</f>
        <v>29598</v>
      </c>
      <c r="F106" s="1" t="str">
        <f>Data!G106</f>
        <v>36702</v>
      </c>
      <c r="G106" s="1">
        <f t="shared" si="3"/>
        <v>135</v>
      </c>
      <c r="H106" s="1">
        <f t="shared" si="4"/>
        <v>140</v>
      </c>
      <c r="I106" s="1">
        <f t="shared" ref="I106:J106" si="210">E106 * G106</f>
        <v>3995730</v>
      </c>
      <c r="J106" s="1">
        <f t="shared" si="210"/>
        <v>5138280</v>
      </c>
      <c r="K106" s="1">
        <f t="shared" ref="K106:L106" si="211">IF(E106=0, "", I106 / E106)</f>
        <v>135</v>
      </c>
      <c r="L106" s="1">
        <f t="shared" si="211"/>
        <v>140</v>
      </c>
    </row>
    <row r="107">
      <c r="A107" s="1" t="str">
        <f>Data!B107</f>
        <v>Month4</v>
      </c>
      <c r="B107" s="1" t="str">
        <f>Data!C107</f>
        <v>N</v>
      </c>
      <c r="C107" s="1" t="str">
        <f>Data!D107</f>
        <v>Mumbai</v>
      </c>
      <c r="D107" s="1" t="str">
        <f>Data!E107</f>
        <v>HappyGrow</v>
      </c>
      <c r="E107" s="1" t="str">
        <f>Data!F107</f>
        <v>28691</v>
      </c>
      <c r="F107" s="1" t="str">
        <f>Data!G107</f>
        <v>32708</v>
      </c>
      <c r="G107" s="1">
        <f t="shared" si="3"/>
        <v>60</v>
      </c>
      <c r="H107" s="1">
        <f t="shared" si="4"/>
        <v>70</v>
      </c>
      <c r="I107" s="1">
        <f t="shared" ref="I107:J107" si="212">E107 * G107</f>
        <v>1721460</v>
      </c>
      <c r="J107" s="1">
        <f t="shared" si="212"/>
        <v>2289560</v>
      </c>
      <c r="K107" s="1">
        <f t="shared" ref="K107:L107" si="213">IF(E107=0, "", I107 / E107)</f>
        <v>60</v>
      </c>
      <c r="L107" s="1">
        <f t="shared" si="213"/>
        <v>70</v>
      </c>
    </row>
    <row r="108">
      <c r="A108" s="1" t="str">
        <f>Data!B108</f>
        <v>Month4</v>
      </c>
      <c r="B108" s="1" t="str">
        <f>Data!C108</f>
        <v>E</v>
      </c>
      <c r="C108" s="1" t="str">
        <f>Data!D108</f>
        <v>Mumbai</v>
      </c>
      <c r="D108" s="1" t="str">
        <f>Data!E108</f>
        <v>PowerSip</v>
      </c>
      <c r="E108" s="1" t="str">
        <f>Data!F108</f>
        <v>16597</v>
      </c>
      <c r="F108" s="1" t="str">
        <f>Data!G108</f>
        <v>20747</v>
      </c>
      <c r="G108" s="1">
        <f t="shared" si="3"/>
        <v>135</v>
      </c>
      <c r="H108" s="1">
        <f t="shared" si="4"/>
        <v>140</v>
      </c>
      <c r="I108" s="1">
        <f t="shared" ref="I108:J108" si="214">E108 * G108</f>
        <v>2240595</v>
      </c>
      <c r="J108" s="1">
        <f t="shared" si="214"/>
        <v>2904580</v>
      </c>
      <c r="K108" s="1">
        <f t="shared" ref="K108:L108" si="215">IF(E108=0, "", I108 / E108)</f>
        <v>135</v>
      </c>
      <c r="L108" s="1">
        <f t="shared" si="215"/>
        <v>140</v>
      </c>
    </row>
    <row r="109">
      <c r="A109" s="1" t="str">
        <f>Data!B109</f>
        <v>Month4</v>
      </c>
      <c r="B109" s="1" t="str">
        <f>Data!C109</f>
        <v>E</v>
      </c>
      <c r="C109" s="1" t="str">
        <f>Data!D109</f>
        <v>Mumbai</v>
      </c>
      <c r="D109" s="1" t="str">
        <f>Data!E109</f>
        <v>HappyGrow</v>
      </c>
      <c r="E109" s="1" t="str">
        <f>Data!F109</f>
        <v>20035</v>
      </c>
      <c r="F109" s="1" t="str">
        <f>Data!G109</f>
        <v>22840</v>
      </c>
      <c r="G109" s="1">
        <f t="shared" si="3"/>
        <v>60</v>
      </c>
      <c r="H109" s="1">
        <f t="shared" si="4"/>
        <v>70</v>
      </c>
      <c r="I109" s="1">
        <f t="shared" ref="I109:J109" si="216">E109 * G109</f>
        <v>1202100</v>
      </c>
      <c r="J109" s="1">
        <f t="shared" si="216"/>
        <v>1598800</v>
      </c>
      <c r="K109" s="1">
        <f t="shared" ref="K109:L109" si="217">IF(E109=0, "", I109 / E109)</f>
        <v>60</v>
      </c>
      <c r="L109" s="1">
        <f t="shared" si="217"/>
        <v>70</v>
      </c>
    </row>
    <row r="110">
      <c r="A110" s="1" t="str">
        <f>Data!B110</f>
        <v>Month4</v>
      </c>
      <c r="B110" s="1" t="str">
        <f>Data!C110</f>
        <v>W</v>
      </c>
      <c r="C110" s="1" t="str">
        <f>Data!D110</f>
        <v>Mumbai</v>
      </c>
      <c r="D110" s="1" t="str">
        <f>Data!E110</f>
        <v>PowerSip</v>
      </c>
      <c r="E110" s="1" t="str">
        <f>Data!F110</f>
        <v>26003</v>
      </c>
      <c r="F110" s="1" t="str">
        <f>Data!G110</f>
        <v>32504</v>
      </c>
      <c r="G110" s="1">
        <f t="shared" si="3"/>
        <v>135</v>
      </c>
      <c r="H110" s="1">
        <f t="shared" si="4"/>
        <v>140</v>
      </c>
      <c r="I110" s="1">
        <f t="shared" ref="I110:J110" si="218">E110 * G110</f>
        <v>3510405</v>
      </c>
      <c r="J110" s="1">
        <f t="shared" si="218"/>
        <v>4550560</v>
      </c>
      <c r="K110" s="1">
        <f t="shared" ref="K110:L110" si="219">IF(E110=0, "", I110 / E110)</f>
        <v>135</v>
      </c>
      <c r="L110" s="1">
        <f t="shared" si="219"/>
        <v>140</v>
      </c>
    </row>
    <row r="111">
      <c r="A111" s="1" t="str">
        <f>Data!B111</f>
        <v>Month4</v>
      </c>
      <c r="B111" s="1" t="str">
        <f>Data!C111</f>
        <v>W</v>
      </c>
      <c r="C111" s="1" t="str">
        <f>Data!D111</f>
        <v>Mumbai</v>
      </c>
      <c r="D111" s="1" t="str">
        <f>Data!E111</f>
        <v>HappyGrow</v>
      </c>
      <c r="E111" s="1" t="str">
        <f>Data!F111</f>
        <v>13915</v>
      </c>
      <c r="F111" s="1" t="str">
        <f>Data!G111</f>
        <v>15864</v>
      </c>
      <c r="G111" s="1">
        <f t="shared" si="3"/>
        <v>60</v>
      </c>
      <c r="H111" s="1">
        <f t="shared" si="4"/>
        <v>70</v>
      </c>
      <c r="I111" s="1">
        <f t="shared" ref="I111:J111" si="220">E111 * G111</f>
        <v>834900</v>
      </c>
      <c r="J111" s="1">
        <f t="shared" si="220"/>
        <v>1110480</v>
      </c>
      <c r="K111" s="1">
        <f t="shared" ref="K111:L111" si="221">IF(E111=0, "", I111 / E111)</f>
        <v>60</v>
      </c>
      <c r="L111" s="1">
        <f t="shared" si="221"/>
        <v>70</v>
      </c>
    </row>
    <row r="112">
      <c r="A112" s="1" t="str">
        <f>Data!B112</f>
        <v>Month4</v>
      </c>
      <c r="B112" s="1" t="str">
        <f>Data!C112</f>
        <v>S</v>
      </c>
      <c r="C112" s="1" t="str">
        <f>Data!D112</f>
        <v>Mumbai</v>
      </c>
      <c r="D112" s="1" t="str">
        <f>Data!E112</f>
        <v>PowerSip</v>
      </c>
      <c r="E112" s="1" t="str">
        <f>Data!F112</f>
        <v>16055</v>
      </c>
      <c r="F112" s="1" t="str">
        <f>Data!G112</f>
        <v>20069</v>
      </c>
      <c r="G112" s="1">
        <f t="shared" si="3"/>
        <v>135</v>
      </c>
      <c r="H112" s="1">
        <f t="shared" si="4"/>
        <v>140</v>
      </c>
      <c r="I112" s="1">
        <f t="shared" ref="I112:J112" si="222">E112 * G112</f>
        <v>2167425</v>
      </c>
      <c r="J112" s="1">
        <f t="shared" si="222"/>
        <v>2809660</v>
      </c>
      <c r="K112" s="1">
        <f t="shared" ref="K112:L112" si="223">IF(E112=0, "", I112 / E112)</f>
        <v>135</v>
      </c>
      <c r="L112" s="1">
        <f t="shared" si="223"/>
        <v>140</v>
      </c>
    </row>
    <row r="113">
      <c r="A113" s="1" t="str">
        <f>Data!B113</f>
        <v>Month4</v>
      </c>
      <c r="B113" s="1" t="str">
        <f>Data!C113</f>
        <v>S</v>
      </c>
      <c r="C113" s="1" t="str">
        <f>Data!D113</f>
        <v>Mumbai</v>
      </c>
      <c r="D113" s="1" t="str">
        <f>Data!E113</f>
        <v>HappyGrow</v>
      </c>
      <c r="E113" s="1" t="str">
        <f>Data!F113</f>
        <v>16635</v>
      </c>
      <c r="F113" s="1" t="str">
        <f>Data!G113</f>
        <v>18964</v>
      </c>
      <c r="G113" s="1">
        <f t="shared" si="3"/>
        <v>60</v>
      </c>
      <c r="H113" s="1">
        <f t="shared" si="4"/>
        <v>70</v>
      </c>
      <c r="I113" s="1">
        <f t="shared" ref="I113:J113" si="224">E113 * G113</f>
        <v>998100</v>
      </c>
      <c r="J113" s="1">
        <f t="shared" si="224"/>
        <v>1327480</v>
      </c>
      <c r="K113" s="1">
        <f t="shared" ref="K113:L113" si="225">IF(E113=0, "", I113 / E113)</f>
        <v>60</v>
      </c>
      <c r="L113" s="1">
        <f t="shared" si="225"/>
        <v>70</v>
      </c>
    </row>
    <row r="114">
      <c r="A114" s="1" t="str">
        <f>Data!B114</f>
        <v>Month4</v>
      </c>
      <c r="B114" s="1" t="str">
        <f>Data!C114</f>
        <v>N</v>
      </c>
      <c r="C114" s="1" t="str">
        <f>Data!D114</f>
        <v>Bengaluru</v>
      </c>
      <c r="D114" s="1" t="str">
        <f>Data!E114</f>
        <v>PowerSip</v>
      </c>
      <c r="E114" s="1" t="str">
        <f>Data!F114</f>
        <v>28317</v>
      </c>
      <c r="F114" s="1" t="str">
        <f>Data!G114</f>
        <v>35397</v>
      </c>
      <c r="G114" s="1">
        <f t="shared" si="3"/>
        <v>135</v>
      </c>
      <c r="H114" s="1">
        <f t="shared" si="4"/>
        <v>140</v>
      </c>
      <c r="I114" s="1">
        <f t="shared" ref="I114:J114" si="226">E114 * G114</f>
        <v>3822795</v>
      </c>
      <c r="J114" s="1">
        <f t="shared" si="226"/>
        <v>4955580</v>
      </c>
      <c r="K114" s="1">
        <f t="shared" ref="K114:L114" si="227">IF(E114=0, "", I114 / E114)</f>
        <v>135</v>
      </c>
      <c r="L114" s="1">
        <f t="shared" si="227"/>
        <v>140</v>
      </c>
    </row>
    <row r="115">
      <c r="A115" s="1" t="str">
        <f>Data!B115</f>
        <v>Month4</v>
      </c>
      <c r="B115" s="1" t="str">
        <f>Data!C115</f>
        <v>N</v>
      </c>
      <c r="C115" s="1" t="str">
        <f>Data!D115</f>
        <v>Bengaluru</v>
      </c>
      <c r="D115" s="1" t="str">
        <f>Data!E115</f>
        <v>HappyGrow</v>
      </c>
      <c r="E115" s="1" t="str">
        <f>Data!F115</f>
        <v>22800</v>
      </c>
      <c r="F115" s="1" t="str">
        <f>Data!G115</f>
        <v>26220</v>
      </c>
      <c r="G115" s="1">
        <f t="shared" si="3"/>
        <v>60</v>
      </c>
      <c r="H115" s="1">
        <f t="shared" si="4"/>
        <v>70</v>
      </c>
      <c r="I115" s="1">
        <f t="shared" ref="I115:J115" si="228">E115 * G115</f>
        <v>1368000</v>
      </c>
      <c r="J115" s="1">
        <f t="shared" si="228"/>
        <v>1835400</v>
      </c>
      <c r="K115" s="1">
        <f t="shared" ref="K115:L115" si="229">IF(E115=0, "", I115 / E115)</f>
        <v>60</v>
      </c>
      <c r="L115" s="1">
        <f t="shared" si="229"/>
        <v>70</v>
      </c>
    </row>
    <row r="116">
      <c r="A116" s="1" t="str">
        <f>Data!B116</f>
        <v>Month4</v>
      </c>
      <c r="B116" s="1" t="str">
        <f>Data!C116</f>
        <v>E</v>
      </c>
      <c r="C116" s="1" t="str">
        <f>Data!D116</f>
        <v>Bengaluru</v>
      </c>
      <c r="D116" s="1" t="str">
        <f>Data!E116</f>
        <v>PowerSip</v>
      </c>
      <c r="E116" s="1" t="str">
        <f>Data!F116</f>
        <v>32011</v>
      </c>
      <c r="F116" s="1" t="str">
        <f>Data!G116</f>
        <v>40334</v>
      </c>
      <c r="G116" s="1">
        <f t="shared" si="3"/>
        <v>135</v>
      </c>
      <c r="H116" s="1">
        <f t="shared" si="4"/>
        <v>140</v>
      </c>
      <c r="I116" s="1">
        <f t="shared" ref="I116:J116" si="230">E116 * G116</f>
        <v>4321485</v>
      </c>
      <c r="J116" s="1">
        <f t="shared" si="230"/>
        <v>5646760</v>
      </c>
      <c r="K116" s="1">
        <f t="shared" ref="K116:L116" si="231">IF(E116=0, "", I116 / E116)</f>
        <v>135</v>
      </c>
      <c r="L116" s="1">
        <f t="shared" si="231"/>
        <v>140</v>
      </c>
    </row>
    <row r="117">
      <c r="A117" s="1" t="str">
        <f>Data!B117</f>
        <v>Month4</v>
      </c>
      <c r="B117" s="1" t="str">
        <f>Data!C117</f>
        <v>E</v>
      </c>
      <c r="C117" s="1" t="str">
        <f>Data!D117</f>
        <v>Bengaluru</v>
      </c>
      <c r="D117" s="1" t="str">
        <f>Data!E117</f>
        <v>HappyGrow</v>
      </c>
      <c r="E117" s="1" t="str">
        <f>Data!F117</f>
        <v>18538</v>
      </c>
      <c r="F117" s="1" t="str">
        <f>Data!G117</f>
        <v>21319</v>
      </c>
      <c r="G117" s="1">
        <f t="shared" si="3"/>
        <v>60</v>
      </c>
      <c r="H117" s="1">
        <f t="shared" si="4"/>
        <v>70</v>
      </c>
      <c r="I117" s="1">
        <f t="shared" ref="I117:J117" si="232">E117 * G117</f>
        <v>1112280</v>
      </c>
      <c r="J117" s="1">
        <f t="shared" si="232"/>
        <v>1492330</v>
      </c>
      <c r="K117" s="1">
        <f t="shared" ref="K117:L117" si="233">IF(E117=0, "", I117 / E117)</f>
        <v>60</v>
      </c>
      <c r="L117" s="1">
        <f t="shared" si="233"/>
        <v>70</v>
      </c>
    </row>
    <row r="118">
      <c r="A118" s="1" t="str">
        <f>Data!B118</f>
        <v>Month4</v>
      </c>
      <c r="B118" s="1" t="str">
        <f>Data!C118</f>
        <v>W</v>
      </c>
      <c r="C118" s="1" t="str">
        <f>Data!D118</f>
        <v>Bengaluru</v>
      </c>
      <c r="D118" s="1" t="str">
        <f>Data!E118</f>
        <v>PowerSip</v>
      </c>
      <c r="E118" s="1" t="str">
        <f>Data!F118</f>
        <v>23737</v>
      </c>
      <c r="F118" s="1" t="str">
        <f>Data!G118</f>
        <v>29909</v>
      </c>
      <c r="G118" s="1">
        <f t="shared" si="3"/>
        <v>135</v>
      </c>
      <c r="H118" s="1">
        <f t="shared" si="4"/>
        <v>140</v>
      </c>
      <c r="I118" s="1">
        <f t="shared" ref="I118:J118" si="234">E118 * G118</f>
        <v>3204495</v>
      </c>
      <c r="J118" s="1">
        <f t="shared" si="234"/>
        <v>4187260</v>
      </c>
      <c r="K118" s="1">
        <f t="shared" ref="K118:L118" si="235">IF(E118=0, "", I118 / E118)</f>
        <v>135</v>
      </c>
      <c r="L118" s="1">
        <f t="shared" si="235"/>
        <v>140</v>
      </c>
    </row>
    <row r="119">
      <c r="A119" s="1" t="str">
        <f>Data!B119</f>
        <v>Month4</v>
      </c>
      <c r="B119" s="1" t="str">
        <f>Data!C119</f>
        <v>W</v>
      </c>
      <c r="C119" s="1" t="str">
        <f>Data!D119</f>
        <v>Bengaluru</v>
      </c>
      <c r="D119" s="1" t="str">
        <f>Data!E119</f>
        <v>HappyGrow</v>
      </c>
      <c r="E119" s="1" t="str">
        <f>Data!F119</f>
        <v>17270</v>
      </c>
      <c r="F119" s="1" t="str">
        <f>Data!G119</f>
        <v>19861</v>
      </c>
      <c r="G119" s="1">
        <f t="shared" si="3"/>
        <v>60</v>
      </c>
      <c r="H119" s="1">
        <f t="shared" si="4"/>
        <v>70</v>
      </c>
      <c r="I119" s="1">
        <f t="shared" ref="I119:J119" si="236">E119 * G119</f>
        <v>1036200</v>
      </c>
      <c r="J119" s="1">
        <f t="shared" si="236"/>
        <v>1390270</v>
      </c>
      <c r="K119" s="1">
        <f t="shared" ref="K119:L119" si="237">IF(E119=0, "", I119 / E119)</f>
        <v>60</v>
      </c>
      <c r="L119" s="1">
        <f t="shared" si="237"/>
        <v>70</v>
      </c>
    </row>
    <row r="120">
      <c r="A120" s="1" t="str">
        <f>Data!B120</f>
        <v>Month4</v>
      </c>
      <c r="B120" s="1" t="str">
        <f>Data!C120</f>
        <v>S</v>
      </c>
      <c r="C120" s="1" t="str">
        <f>Data!D120</f>
        <v>Bengaluru</v>
      </c>
      <c r="D120" s="1" t="str">
        <f>Data!E120</f>
        <v>PowerSip</v>
      </c>
      <c r="E120" s="1" t="str">
        <f>Data!F120</f>
        <v>32799</v>
      </c>
      <c r="F120" s="1" t="str">
        <f>Data!G120</f>
        <v>41327</v>
      </c>
      <c r="G120" s="1">
        <f t="shared" si="3"/>
        <v>135</v>
      </c>
      <c r="H120" s="1">
        <f t="shared" si="4"/>
        <v>140</v>
      </c>
      <c r="I120" s="1">
        <f t="shared" ref="I120:J120" si="238">E120 * G120</f>
        <v>4427865</v>
      </c>
      <c r="J120" s="1">
        <f t="shared" si="238"/>
        <v>5785780</v>
      </c>
      <c r="K120" s="1">
        <f t="shared" ref="K120:L120" si="239">IF(E120=0, "", I120 / E120)</f>
        <v>135</v>
      </c>
      <c r="L120" s="1">
        <f t="shared" si="239"/>
        <v>140</v>
      </c>
    </row>
    <row r="121">
      <c r="A121" s="1" t="str">
        <f>Data!B121</f>
        <v>Month4</v>
      </c>
      <c r="B121" s="1" t="str">
        <f>Data!C121</f>
        <v>S</v>
      </c>
      <c r="C121" s="1" t="str">
        <f>Data!D121</f>
        <v>Bengaluru</v>
      </c>
      <c r="D121" s="1" t="str">
        <f>Data!E121</f>
        <v>HappyGrow</v>
      </c>
      <c r="E121" s="1" t="str">
        <f>Data!F121</f>
        <v>30459</v>
      </c>
      <c r="F121" s="1" t="str">
        <f>Data!G121</f>
        <v>35028</v>
      </c>
      <c r="G121" s="1">
        <f t="shared" si="3"/>
        <v>60</v>
      </c>
      <c r="H121" s="1">
        <f t="shared" si="4"/>
        <v>70</v>
      </c>
      <c r="I121" s="1">
        <f t="shared" ref="I121:J121" si="240">E121 * G121</f>
        <v>1827540</v>
      </c>
      <c r="J121" s="1">
        <f t="shared" si="240"/>
        <v>2451960</v>
      </c>
      <c r="K121" s="1">
        <f t="shared" ref="K121:L121" si="241">IF(E121=0, "", I121 / E121)</f>
        <v>60</v>
      </c>
      <c r="L121" s="1">
        <f t="shared" si="241"/>
        <v>70</v>
      </c>
    </row>
    <row r="122">
      <c r="A122" s="1" t="str">
        <f>Data!B122</f>
        <v>Month4</v>
      </c>
      <c r="B122" s="1" t="str">
        <f>Data!C122</f>
        <v>N</v>
      </c>
      <c r="C122" s="1" t="str">
        <f>Data!D122</f>
        <v>Delhi</v>
      </c>
      <c r="D122" s="1" t="str">
        <f>Data!E122</f>
        <v>PowerSip</v>
      </c>
      <c r="E122" s="1" t="str">
        <f>Data!F122</f>
        <v>26397</v>
      </c>
      <c r="F122" s="1" t="str">
        <f>Data!G122</f>
        <v>33525</v>
      </c>
      <c r="G122" s="1">
        <f t="shared" si="3"/>
        <v>135</v>
      </c>
      <c r="H122" s="1">
        <f t="shared" si="4"/>
        <v>140</v>
      </c>
      <c r="I122" s="1">
        <f t="shared" ref="I122:J122" si="242">E122 * G122</f>
        <v>3563595</v>
      </c>
      <c r="J122" s="1">
        <f t="shared" si="242"/>
        <v>4693500</v>
      </c>
      <c r="K122" s="1">
        <f t="shared" ref="K122:L122" si="243">IF(E122=0, "", I122 / E122)</f>
        <v>135</v>
      </c>
      <c r="L122" s="1">
        <f t="shared" si="243"/>
        <v>140</v>
      </c>
    </row>
    <row r="123">
      <c r="A123" s="1" t="str">
        <f>Data!B123</f>
        <v>Month4</v>
      </c>
      <c r="B123" s="1" t="str">
        <f>Data!C123</f>
        <v>N</v>
      </c>
      <c r="C123" s="1" t="str">
        <f>Data!D123</f>
        <v>Delhi</v>
      </c>
      <c r="D123" s="1" t="str">
        <f>Data!E123</f>
        <v>HappyGrow</v>
      </c>
      <c r="E123" s="1" t="str">
        <f>Data!F123</f>
        <v>15093</v>
      </c>
      <c r="F123" s="1" t="str">
        <f>Data!G123</f>
        <v>17508</v>
      </c>
      <c r="G123" s="1">
        <f t="shared" si="3"/>
        <v>60</v>
      </c>
      <c r="H123" s="1">
        <f t="shared" si="4"/>
        <v>70</v>
      </c>
      <c r="I123" s="1">
        <f t="shared" ref="I123:J123" si="244">E123 * G123</f>
        <v>905580</v>
      </c>
      <c r="J123" s="1">
        <f t="shared" si="244"/>
        <v>1225560</v>
      </c>
      <c r="K123" s="1">
        <f t="shared" ref="K123:L123" si="245">IF(E123=0, "", I123 / E123)</f>
        <v>60</v>
      </c>
      <c r="L123" s="1">
        <f t="shared" si="245"/>
        <v>70</v>
      </c>
    </row>
    <row r="124">
      <c r="A124" s="1" t="str">
        <f>Data!B124</f>
        <v>Month4</v>
      </c>
      <c r="B124" s="1" t="str">
        <f>Data!C124</f>
        <v>E</v>
      </c>
      <c r="C124" s="1" t="str">
        <f>Data!D124</f>
        <v>Delhi</v>
      </c>
      <c r="D124" s="1" t="str">
        <f>Data!E124</f>
        <v>PowerSip</v>
      </c>
      <c r="E124" s="1" t="str">
        <f>Data!F124</f>
        <v>28711</v>
      </c>
      <c r="F124" s="1" t="str">
        <f>Data!G124</f>
        <v>36463</v>
      </c>
      <c r="G124" s="1">
        <f t="shared" si="3"/>
        <v>135</v>
      </c>
      <c r="H124" s="1">
        <f t="shared" si="4"/>
        <v>140</v>
      </c>
      <c r="I124" s="1">
        <f t="shared" ref="I124:J124" si="246">E124 * G124</f>
        <v>3875985</v>
      </c>
      <c r="J124" s="1">
        <f t="shared" si="246"/>
        <v>5104820</v>
      </c>
      <c r="K124" s="1">
        <f t="shared" ref="K124:L124" si="247">IF(E124=0, "", I124 / E124)</f>
        <v>135</v>
      </c>
      <c r="L124" s="1">
        <f t="shared" si="247"/>
        <v>140</v>
      </c>
    </row>
    <row r="125">
      <c r="A125" s="1" t="str">
        <f>Data!B125</f>
        <v>Month4</v>
      </c>
      <c r="B125" s="1" t="str">
        <f>Data!C125</f>
        <v>E</v>
      </c>
      <c r="C125" s="1" t="str">
        <f>Data!D125</f>
        <v>Delhi</v>
      </c>
      <c r="D125" s="1" t="str">
        <f>Data!E125</f>
        <v>HappyGrow</v>
      </c>
      <c r="E125" s="1" t="str">
        <f>Data!F125</f>
        <v>16318</v>
      </c>
      <c r="F125" s="1" t="str">
        <f>Data!G125</f>
        <v>18929</v>
      </c>
      <c r="G125" s="1">
        <f t="shared" si="3"/>
        <v>60</v>
      </c>
      <c r="H125" s="1">
        <f t="shared" si="4"/>
        <v>70</v>
      </c>
      <c r="I125" s="1">
        <f t="shared" ref="I125:J125" si="248">E125 * G125</f>
        <v>979080</v>
      </c>
      <c r="J125" s="1">
        <f t="shared" si="248"/>
        <v>1325030</v>
      </c>
      <c r="K125" s="1">
        <f t="shared" ref="K125:L125" si="249">IF(E125=0, "", I125 / E125)</f>
        <v>60</v>
      </c>
      <c r="L125" s="1">
        <f t="shared" si="249"/>
        <v>70</v>
      </c>
    </row>
    <row r="126">
      <c r="A126" s="1" t="str">
        <f>Data!B126</f>
        <v>Month4</v>
      </c>
      <c r="B126" s="1" t="str">
        <f>Data!C126</f>
        <v>W</v>
      </c>
      <c r="C126" s="1" t="str">
        <f>Data!D126</f>
        <v>Delhi</v>
      </c>
      <c r="D126" s="1" t="str">
        <f>Data!E126</f>
        <v>PowerSip</v>
      </c>
      <c r="E126" s="1" t="str">
        <f>Data!F126</f>
        <v>26741</v>
      </c>
      <c r="F126" s="1" t="str">
        <f>Data!G126</f>
        <v>33962</v>
      </c>
      <c r="G126" s="1">
        <f t="shared" si="3"/>
        <v>135</v>
      </c>
      <c r="H126" s="1">
        <f t="shared" si="4"/>
        <v>140</v>
      </c>
      <c r="I126" s="1">
        <f t="shared" ref="I126:J126" si="250">E126 * G126</f>
        <v>3610035</v>
      </c>
      <c r="J126" s="1">
        <f t="shared" si="250"/>
        <v>4754680</v>
      </c>
      <c r="K126" s="1">
        <f t="shared" ref="K126:L126" si="251">IF(E126=0, "", I126 / E126)</f>
        <v>135</v>
      </c>
      <c r="L126" s="1">
        <f t="shared" si="251"/>
        <v>140</v>
      </c>
    </row>
    <row r="127">
      <c r="A127" s="1" t="str">
        <f>Data!B127</f>
        <v>Month4</v>
      </c>
      <c r="B127" s="1" t="str">
        <f>Data!C127</f>
        <v>W</v>
      </c>
      <c r="C127" s="1" t="str">
        <f>Data!D127</f>
        <v>Delhi</v>
      </c>
      <c r="D127" s="1" t="str">
        <f>Data!E127</f>
        <v>HappyGrow</v>
      </c>
      <c r="E127" s="1" t="str">
        <f>Data!F127</f>
        <v>18675</v>
      </c>
      <c r="F127" s="1" t="str">
        <f>Data!G127</f>
        <v>21850</v>
      </c>
      <c r="G127" s="1">
        <f t="shared" si="3"/>
        <v>60</v>
      </c>
      <c r="H127" s="1">
        <f t="shared" si="4"/>
        <v>70</v>
      </c>
      <c r="I127" s="1">
        <f t="shared" ref="I127:J127" si="252">E127 * G127</f>
        <v>1120500</v>
      </c>
      <c r="J127" s="1">
        <f t="shared" si="252"/>
        <v>1529500</v>
      </c>
      <c r="K127" s="1">
        <f t="shared" ref="K127:L127" si="253">IF(E127=0, "", I127 / E127)</f>
        <v>60</v>
      </c>
      <c r="L127" s="1">
        <f t="shared" si="253"/>
        <v>70</v>
      </c>
    </row>
    <row r="128">
      <c r="A128" s="1" t="str">
        <f>Data!B128</f>
        <v>Month4</v>
      </c>
      <c r="B128" s="1" t="str">
        <f>Data!C128</f>
        <v>S</v>
      </c>
      <c r="C128" s="1" t="str">
        <f>Data!D128</f>
        <v>Delhi</v>
      </c>
      <c r="D128" s="1" t="str">
        <f>Data!E128</f>
        <v>PowerSip</v>
      </c>
      <c r="E128" s="1" t="str">
        <f>Data!F128</f>
        <v>23048</v>
      </c>
      <c r="F128" s="1" t="str">
        <f>Data!G128</f>
        <v>29502</v>
      </c>
      <c r="G128" s="1">
        <f t="shared" si="3"/>
        <v>135</v>
      </c>
      <c r="H128" s="1">
        <f t="shared" si="4"/>
        <v>140</v>
      </c>
      <c r="I128" s="1">
        <f t="shared" ref="I128:J128" si="254">E128 * G128</f>
        <v>3111480</v>
      </c>
      <c r="J128" s="1">
        <f t="shared" si="254"/>
        <v>4130280</v>
      </c>
      <c r="K128" s="1">
        <f t="shared" ref="K128:L128" si="255">IF(E128=0, "", I128 / E128)</f>
        <v>135</v>
      </c>
      <c r="L128" s="1">
        <f t="shared" si="255"/>
        <v>140</v>
      </c>
    </row>
    <row r="129">
      <c r="A129" s="1" t="str">
        <f>Data!B129</f>
        <v>Month4</v>
      </c>
      <c r="B129" s="1" t="str">
        <f>Data!C129</f>
        <v>S</v>
      </c>
      <c r="C129" s="1" t="str">
        <f>Data!D129</f>
        <v>Delhi</v>
      </c>
      <c r="D129" s="1" t="str">
        <f>Data!E129</f>
        <v>HappyGrow</v>
      </c>
      <c r="E129" s="1" t="str">
        <f>Data!F129</f>
        <v>28013</v>
      </c>
      <c r="F129" s="1" t="str">
        <f>Data!G129</f>
        <v>32776</v>
      </c>
      <c r="G129" s="1">
        <f t="shared" si="3"/>
        <v>60</v>
      </c>
      <c r="H129" s="1">
        <f t="shared" si="4"/>
        <v>70</v>
      </c>
      <c r="I129" s="1">
        <f t="shared" ref="I129:J129" si="256">E129 * G129</f>
        <v>1680780</v>
      </c>
      <c r="J129" s="1">
        <f t="shared" si="256"/>
        <v>2294320</v>
      </c>
      <c r="K129" s="1">
        <f t="shared" ref="K129:L129" si="257">IF(E129=0, "", I129 / E129)</f>
        <v>60</v>
      </c>
      <c r="L129" s="1">
        <f t="shared" si="257"/>
        <v>70</v>
      </c>
    </row>
    <row r="130">
      <c r="A130" s="1" t="str">
        <f>Data!B130</f>
        <v>Month5</v>
      </c>
      <c r="B130" s="1" t="str">
        <f>Data!C130</f>
        <v>N</v>
      </c>
      <c r="C130" s="1" t="str">
        <f>Data!D130</f>
        <v>Chennai</v>
      </c>
      <c r="D130" s="1" t="str">
        <f>Data!E130</f>
        <v>PowerSip</v>
      </c>
      <c r="E130" s="1" t="str">
        <f>Data!F130</f>
        <v>31474</v>
      </c>
      <c r="F130" s="1" t="str">
        <f>Data!G130</f>
        <v>40602</v>
      </c>
      <c r="G130" s="1">
        <f t="shared" si="3"/>
        <v>135</v>
      </c>
      <c r="H130" s="1">
        <f t="shared" si="4"/>
        <v>140</v>
      </c>
      <c r="I130" s="1">
        <f t="shared" ref="I130:J130" si="258">E130 * G130</f>
        <v>4248990</v>
      </c>
      <c r="J130" s="1">
        <f t="shared" si="258"/>
        <v>5684280</v>
      </c>
      <c r="K130" s="1">
        <f t="shared" ref="K130:L130" si="259">IF(E130=0, "", I130 / E130)</f>
        <v>135</v>
      </c>
      <c r="L130" s="1">
        <f t="shared" si="259"/>
        <v>140</v>
      </c>
    </row>
    <row r="131">
      <c r="A131" s="1" t="str">
        <f>Data!B131</f>
        <v>Month5</v>
      </c>
      <c r="B131" s="1" t="str">
        <f>Data!C131</f>
        <v>N</v>
      </c>
      <c r="C131" s="1" t="str">
        <f>Data!D131</f>
        <v>Chennai</v>
      </c>
      <c r="D131" s="1" t="str">
        <f>Data!E131</f>
        <v>HappyGrow</v>
      </c>
      <c r="E131" s="1" t="str">
        <f>Data!F131</f>
        <v>21825</v>
      </c>
      <c r="F131" s="1" t="str">
        <f>Data!G131</f>
        <v>25536</v>
      </c>
      <c r="G131" s="1">
        <f t="shared" si="3"/>
        <v>60</v>
      </c>
      <c r="H131" s="1">
        <f t="shared" si="4"/>
        <v>70</v>
      </c>
      <c r="I131" s="1">
        <f t="shared" ref="I131:J131" si="260">E131 * G131</f>
        <v>1309500</v>
      </c>
      <c r="J131" s="1">
        <f t="shared" si="260"/>
        <v>1787520</v>
      </c>
      <c r="K131" s="1">
        <f t="shared" ref="K131:L131" si="261">IF(E131=0, "", I131 / E131)</f>
        <v>60</v>
      </c>
      <c r="L131" s="1">
        <f t="shared" si="261"/>
        <v>70</v>
      </c>
    </row>
    <row r="132">
      <c r="A132" s="1" t="str">
        <f>Data!B132</f>
        <v>Month5</v>
      </c>
      <c r="B132" s="1" t="str">
        <f>Data!C132</f>
        <v>E</v>
      </c>
      <c r="C132" s="1" t="str">
        <f>Data!D132</f>
        <v>Chennai</v>
      </c>
      <c r="D132" s="1" t="str">
        <f>Data!E132</f>
        <v>PowerSip</v>
      </c>
      <c r="E132" s="1" t="str">
        <f>Data!F132</f>
        <v>16794</v>
      </c>
      <c r="F132" s="1" t="str">
        <f>Data!G132</f>
        <v>21665</v>
      </c>
      <c r="G132" s="1">
        <f t="shared" si="3"/>
        <v>135</v>
      </c>
      <c r="H132" s="1">
        <f t="shared" si="4"/>
        <v>140</v>
      </c>
      <c r="I132" s="1">
        <f t="shared" ref="I132:J132" si="262">E132 * G132</f>
        <v>2267190</v>
      </c>
      <c r="J132" s="1">
        <f t="shared" si="262"/>
        <v>3033100</v>
      </c>
      <c r="K132" s="1">
        <f t="shared" ref="K132:L132" si="263">IF(E132=0, "", I132 / E132)</f>
        <v>135</v>
      </c>
      <c r="L132" s="1">
        <f t="shared" si="263"/>
        <v>140</v>
      </c>
    </row>
    <row r="133">
      <c r="A133" s="1" t="str">
        <f>Data!B133</f>
        <v>Month5</v>
      </c>
      <c r="B133" s="1" t="str">
        <f>Data!C133</f>
        <v>E</v>
      </c>
      <c r="C133" s="1" t="str">
        <f>Data!D133</f>
        <v>Chennai</v>
      </c>
      <c r="D133" s="1" t="str">
        <f>Data!E133</f>
        <v>HappyGrow</v>
      </c>
      <c r="E133" s="1" t="str">
        <f>Data!F133</f>
        <v>29293</v>
      </c>
      <c r="F133" s="1" t="str">
        <f>Data!G133</f>
        <v>34273</v>
      </c>
      <c r="G133" s="1">
        <f t="shared" si="3"/>
        <v>60</v>
      </c>
      <c r="H133" s="1">
        <f t="shared" si="4"/>
        <v>70</v>
      </c>
      <c r="I133" s="1">
        <f t="shared" ref="I133:J133" si="264">E133 * G133</f>
        <v>1757580</v>
      </c>
      <c r="J133" s="1">
        <f t="shared" si="264"/>
        <v>2399110</v>
      </c>
      <c r="K133" s="1">
        <f t="shared" ref="K133:L133" si="265">IF(E133=0, "", I133 / E133)</f>
        <v>60</v>
      </c>
      <c r="L133" s="1">
        <f t="shared" si="265"/>
        <v>70</v>
      </c>
    </row>
    <row r="134">
      <c r="A134" s="1" t="str">
        <f>Data!B134</f>
        <v>Month5</v>
      </c>
      <c r="B134" s="1" t="str">
        <f>Data!C134</f>
        <v>W</v>
      </c>
      <c r="C134" s="1" t="str">
        <f>Data!D134</f>
        <v>Chennai</v>
      </c>
      <c r="D134" s="1" t="str">
        <f>Data!E134</f>
        <v>PowerSip</v>
      </c>
      <c r="E134" s="1" t="str">
        <f>Data!F134</f>
        <v>20098</v>
      </c>
      <c r="F134" s="1" t="str">
        <f>Data!G134</f>
        <v>25927</v>
      </c>
      <c r="G134" s="1">
        <f t="shared" si="3"/>
        <v>135</v>
      </c>
      <c r="H134" s="1">
        <f t="shared" si="4"/>
        <v>140</v>
      </c>
      <c r="I134" s="1">
        <f t="shared" ref="I134:J134" si="266">E134 * G134</f>
        <v>2713230</v>
      </c>
      <c r="J134" s="1">
        <f t="shared" si="266"/>
        <v>3629780</v>
      </c>
      <c r="K134" s="1">
        <f t="shared" ref="K134:L134" si="267">IF(E134=0, "", I134 / E134)</f>
        <v>135</v>
      </c>
      <c r="L134" s="1">
        <f t="shared" si="267"/>
        <v>140</v>
      </c>
    </row>
    <row r="135">
      <c r="A135" s="1" t="str">
        <f>Data!B135</f>
        <v>Month5</v>
      </c>
      <c r="B135" s="1" t="str">
        <f>Data!C135</f>
        <v>W</v>
      </c>
      <c r="C135" s="1" t="str">
        <f>Data!D135</f>
        <v>Chennai</v>
      </c>
      <c r="D135" s="1" t="str">
        <f>Data!E135</f>
        <v>HappyGrow</v>
      </c>
      <c r="E135" s="1" t="str">
        <f>Data!F135</f>
        <v>20709</v>
      </c>
      <c r="F135" s="1" t="str">
        <f>Data!G135</f>
        <v>24230</v>
      </c>
      <c r="G135" s="1">
        <f t="shared" si="3"/>
        <v>60</v>
      </c>
      <c r="H135" s="1">
        <f t="shared" si="4"/>
        <v>70</v>
      </c>
      <c r="I135" s="1">
        <f t="shared" ref="I135:J135" si="268">E135 * G135</f>
        <v>1242540</v>
      </c>
      <c r="J135" s="1">
        <f t="shared" si="268"/>
        <v>1696100</v>
      </c>
      <c r="K135" s="1">
        <f t="shared" ref="K135:L135" si="269">IF(E135=0, "", I135 / E135)</f>
        <v>60</v>
      </c>
      <c r="L135" s="1">
        <f t="shared" si="269"/>
        <v>70</v>
      </c>
    </row>
    <row r="136">
      <c r="A136" s="1" t="str">
        <f>Data!B136</f>
        <v>Month5</v>
      </c>
      <c r="B136" s="1" t="str">
        <f>Data!C136</f>
        <v>S</v>
      </c>
      <c r="C136" s="1" t="str">
        <f>Data!D136</f>
        <v>Chennai</v>
      </c>
      <c r="D136" s="1" t="str">
        <f>Data!E136</f>
        <v>PowerSip</v>
      </c>
      <c r="E136" s="1" t="str">
        <f>Data!F136</f>
        <v>36350</v>
      </c>
      <c r="F136" s="1" t="str">
        <f>Data!G136</f>
        <v>47255</v>
      </c>
      <c r="G136" s="1">
        <f t="shared" si="3"/>
        <v>135</v>
      </c>
      <c r="H136" s="1">
        <f t="shared" si="4"/>
        <v>140</v>
      </c>
      <c r="I136" s="1">
        <f t="shared" ref="I136:J136" si="270">E136 * G136</f>
        <v>4907250</v>
      </c>
      <c r="J136" s="1">
        <f t="shared" si="270"/>
        <v>6615700</v>
      </c>
      <c r="K136" s="1">
        <f t="shared" ref="K136:L136" si="271">IF(E136=0, "", I136 / E136)</f>
        <v>135</v>
      </c>
      <c r="L136" s="1">
        <f t="shared" si="271"/>
        <v>140</v>
      </c>
    </row>
    <row r="137">
      <c r="A137" s="1" t="str">
        <f>Data!B137</f>
        <v>Month5</v>
      </c>
      <c r="B137" s="1" t="str">
        <f>Data!C137</f>
        <v>S</v>
      </c>
      <c r="C137" s="1" t="str">
        <f>Data!D137</f>
        <v>Chennai</v>
      </c>
      <c r="D137" s="1" t="str">
        <f>Data!E137</f>
        <v>HappyGrow</v>
      </c>
      <c r="E137" s="1" t="str">
        <f>Data!F137</f>
        <v>17654</v>
      </c>
      <c r="F137" s="1" t="str">
        <f>Data!G137</f>
        <v>20656</v>
      </c>
      <c r="G137" s="1">
        <f t="shared" si="3"/>
        <v>60</v>
      </c>
      <c r="H137" s="1">
        <f t="shared" si="4"/>
        <v>70</v>
      </c>
      <c r="I137" s="1">
        <f t="shared" ref="I137:J137" si="272">E137 * G137</f>
        <v>1059240</v>
      </c>
      <c r="J137" s="1">
        <f t="shared" si="272"/>
        <v>1445920</v>
      </c>
      <c r="K137" s="1">
        <f t="shared" ref="K137:L137" si="273">IF(E137=0, "", I137 / E137)</f>
        <v>60</v>
      </c>
      <c r="L137" s="1">
        <f t="shared" si="273"/>
        <v>70</v>
      </c>
    </row>
    <row r="138">
      <c r="A138" s="1" t="str">
        <f>Data!B138</f>
        <v>Month5</v>
      </c>
      <c r="B138" s="1" t="str">
        <f>Data!C138</f>
        <v>N</v>
      </c>
      <c r="C138" s="1" t="str">
        <f>Data!D138</f>
        <v>Mumbai</v>
      </c>
      <c r="D138" s="1" t="str">
        <f>Data!E138</f>
        <v>PowerSip</v>
      </c>
      <c r="E138" s="1" t="str">
        <f>Data!F138</f>
        <v>32558</v>
      </c>
      <c r="F138" s="1" t="str">
        <f>Data!G138</f>
        <v>42326</v>
      </c>
      <c r="G138" s="1">
        <f t="shared" si="3"/>
        <v>135</v>
      </c>
      <c r="H138" s="1">
        <f t="shared" si="4"/>
        <v>140</v>
      </c>
      <c r="I138" s="1">
        <f t="shared" ref="I138:J138" si="274">E138 * G138</f>
        <v>4395330</v>
      </c>
      <c r="J138" s="1">
        <f t="shared" si="274"/>
        <v>5925640</v>
      </c>
      <c r="K138" s="1">
        <f t="shared" ref="K138:L138" si="275">IF(E138=0, "", I138 / E138)</f>
        <v>135</v>
      </c>
      <c r="L138" s="1">
        <f t="shared" si="275"/>
        <v>140</v>
      </c>
    </row>
    <row r="139">
      <c r="A139" s="1" t="str">
        <f>Data!B139</f>
        <v>Month5</v>
      </c>
      <c r="B139" s="1" t="str">
        <f>Data!C139</f>
        <v>N</v>
      </c>
      <c r="C139" s="1" t="str">
        <f>Data!D139</f>
        <v>Mumbai</v>
      </c>
      <c r="D139" s="1" t="str">
        <f>Data!E139</f>
        <v>HappyGrow</v>
      </c>
      <c r="E139" s="1" t="str">
        <f>Data!F139</f>
        <v>30699</v>
      </c>
      <c r="F139" s="1" t="str">
        <f>Data!G139</f>
        <v>36225</v>
      </c>
      <c r="G139" s="1">
        <f t="shared" si="3"/>
        <v>60</v>
      </c>
      <c r="H139" s="1">
        <f t="shared" si="4"/>
        <v>70</v>
      </c>
      <c r="I139" s="1">
        <f t="shared" ref="I139:J139" si="276">E139 * G139</f>
        <v>1841940</v>
      </c>
      <c r="J139" s="1">
        <f t="shared" si="276"/>
        <v>2535750</v>
      </c>
      <c r="K139" s="1">
        <f t="shared" ref="K139:L139" si="277">IF(E139=0, "", I139 / E139)</f>
        <v>60</v>
      </c>
      <c r="L139" s="1">
        <f t="shared" si="277"/>
        <v>70</v>
      </c>
    </row>
    <row r="140">
      <c r="A140" s="1" t="str">
        <f>Data!B140</f>
        <v>Month5</v>
      </c>
      <c r="B140" s="1" t="str">
        <f>Data!C140</f>
        <v>E</v>
      </c>
      <c r="C140" s="1" t="str">
        <f>Data!D140</f>
        <v>Mumbai</v>
      </c>
      <c r="D140" s="1" t="str">
        <f>Data!E140</f>
        <v>PowerSip</v>
      </c>
      <c r="E140" s="1" t="str">
        <f>Data!F140</f>
        <v>18257</v>
      </c>
      <c r="F140" s="1" t="str">
        <f>Data!G140</f>
        <v>23917</v>
      </c>
      <c r="G140" s="1">
        <f t="shared" si="3"/>
        <v>135</v>
      </c>
      <c r="H140" s="1">
        <f t="shared" si="4"/>
        <v>140</v>
      </c>
      <c r="I140" s="1">
        <f t="shared" ref="I140:J140" si="278">E140 * G140</f>
        <v>2464695</v>
      </c>
      <c r="J140" s="1">
        <f t="shared" si="278"/>
        <v>3348380</v>
      </c>
      <c r="K140" s="1">
        <f t="shared" ref="K140:L140" si="279">IF(E140=0, "", I140 / E140)</f>
        <v>135</v>
      </c>
      <c r="L140" s="1">
        <f t="shared" si="279"/>
        <v>140</v>
      </c>
    </row>
    <row r="141">
      <c r="A141" s="1" t="str">
        <f>Data!B141</f>
        <v>Month5</v>
      </c>
      <c r="B141" s="1" t="str">
        <f>Data!C141</f>
        <v>E</v>
      </c>
      <c r="C141" s="1" t="str">
        <f>Data!D141</f>
        <v>Mumbai</v>
      </c>
      <c r="D141" s="1" t="str">
        <f>Data!E141</f>
        <v>HappyGrow</v>
      </c>
      <c r="E141" s="1" t="str">
        <f>Data!F141</f>
        <v>21437</v>
      </c>
      <c r="F141" s="1" t="str">
        <f>Data!G141</f>
        <v>25296</v>
      </c>
      <c r="G141" s="1">
        <f t="shared" si="3"/>
        <v>60</v>
      </c>
      <c r="H141" s="1">
        <f t="shared" si="4"/>
        <v>70</v>
      </c>
      <c r="I141" s="1">
        <f t="shared" ref="I141:J141" si="280">E141 * G141</f>
        <v>1286220</v>
      </c>
      <c r="J141" s="1">
        <f t="shared" si="280"/>
        <v>1770720</v>
      </c>
      <c r="K141" s="1">
        <f t="shared" ref="K141:L141" si="281">IF(E141=0, "", I141 / E141)</f>
        <v>60</v>
      </c>
      <c r="L141" s="1">
        <f t="shared" si="281"/>
        <v>70</v>
      </c>
    </row>
    <row r="142">
      <c r="A142" s="1" t="str">
        <f>Data!B142</f>
        <v>Month5</v>
      </c>
      <c r="B142" s="1" t="str">
        <f>Data!C142</f>
        <v>W</v>
      </c>
      <c r="C142" s="1" t="str">
        <f>Data!D142</f>
        <v>Mumbai</v>
      </c>
      <c r="D142" s="1" t="str">
        <f>Data!E142</f>
        <v>PowerSip</v>
      </c>
      <c r="E142" s="1" t="str">
        <f>Data!F142</f>
        <v>28603</v>
      </c>
      <c r="F142" s="1" t="str">
        <f>Data!G142</f>
        <v>37756</v>
      </c>
      <c r="G142" s="1">
        <f t="shared" si="3"/>
        <v>135</v>
      </c>
      <c r="H142" s="1">
        <f t="shared" si="4"/>
        <v>140</v>
      </c>
      <c r="I142" s="1">
        <f t="shared" ref="I142:J142" si="282">E142 * G142</f>
        <v>3861405</v>
      </c>
      <c r="J142" s="1">
        <f t="shared" si="282"/>
        <v>5285840</v>
      </c>
      <c r="K142" s="1">
        <f t="shared" ref="K142:L142" si="283">IF(E142=0, "", I142 / E142)</f>
        <v>135</v>
      </c>
      <c r="L142" s="1">
        <f t="shared" si="283"/>
        <v>140</v>
      </c>
    </row>
    <row r="143">
      <c r="A143" s="1" t="str">
        <f>Data!B143</f>
        <v>Month5</v>
      </c>
      <c r="B143" s="1" t="str">
        <f>Data!C143</f>
        <v>W</v>
      </c>
      <c r="C143" s="1" t="str">
        <f>Data!D143</f>
        <v>Mumbai</v>
      </c>
      <c r="D143" s="1" t="str">
        <f>Data!E143</f>
        <v>HappyGrow</v>
      </c>
      <c r="E143" s="1" t="str">
        <f>Data!F143</f>
        <v>14889</v>
      </c>
      <c r="F143" s="1" t="str">
        <f>Data!G143</f>
        <v>17718</v>
      </c>
      <c r="G143" s="1">
        <f t="shared" si="3"/>
        <v>60</v>
      </c>
      <c r="H143" s="1">
        <f t="shared" si="4"/>
        <v>70</v>
      </c>
      <c r="I143" s="1">
        <f t="shared" ref="I143:J143" si="284">E143 * G143</f>
        <v>893340</v>
      </c>
      <c r="J143" s="1">
        <f t="shared" si="284"/>
        <v>1240260</v>
      </c>
      <c r="K143" s="1">
        <f t="shared" ref="K143:L143" si="285">IF(E143=0, "", I143 / E143)</f>
        <v>60</v>
      </c>
      <c r="L143" s="1">
        <f t="shared" si="285"/>
        <v>70</v>
      </c>
    </row>
    <row r="144">
      <c r="A144" s="1" t="str">
        <f>Data!B144</f>
        <v>Month5</v>
      </c>
      <c r="B144" s="1" t="str">
        <f>Data!C144</f>
        <v>S</v>
      </c>
      <c r="C144" s="1" t="str">
        <f>Data!D144</f>
        <v>Mumbai</v>
      </c>
      <c r="D144" s="1" t="str">
        <f>Data!E144</f>
        <v>PowerSip</v>
      </c>
      <c r="E144" s="1" t="str">
        <f>Data!F144</f>
        <v>17661</v>
      </c>
      <c r="F144" s="1" t="str">
        <f>Data!G144</f>
        <v>23313</v>
      </c>
      <c r="G144" s="1">
        <f t="shared" si="3"/>
        <v>135</v>
      </c>
      <c r="H144" s="1">
        <f t="shared" si="4"/>
        <v>140</v>
      </c>
      <c r="I144" s="1">
        <f t="shared" ref="I144:J144" si="286">E144 * G144</f>
        <v>2384235</v>
      </c>
      <c r="J144" s="1">
        <f t="shared" si="286"/>
        <v>3263820</v>
      </c>
      <c r="K144" s="1">
        <f t="shared" ref="K144:L144" si="287">IF(E144=0, "", I144 / E144)</f>
        <v>135</v>
      </c>
      <c r="L144" s="1">
        <f t="shared" si="287"/>
        <v>140</v>
      </c>
    </row>
    <row r="145">
      <c r="A145" s="1" t="str">
        <f>Data!B145</f>
        <v>Month5</v>
      </c>
      <c r="B145" s="1" t="str">
        <f>Data!C145</f>
        <v>S</v>
      </c>
      <c r="C145" s="1" t="str">
        <f>Data!D145</f>
        <v>Mumbai</v>
      </c>
      <c r="D145" s="1" t="str">
        <f>Data!E145</f>
        <v>HappyGrow</v>
      </c>
      <c r="E145" s="1" t="str">
        <f>Data!F145</f>
        <v>17799</v>
      </c>
      <c r="F145" s="1" t="str">
        <f>Data!G145</f>
        <v>21181</v>
      </c>
      <c r="G145" s="1">
        <f t="shared" si="3"/>
        <v>60</v>
      </c>
      <c r="H145" s="1">
        <f t="shared" si="4"/>
        <v>70</v>
      </c>
      <c r="I145" s="1">
        <f t="shared" ref="I145:J145" si="288">E145 * G145</f>
        <v>1067940</v>
      </c>
      <c r="J145" s="1">
        <f t="shared" si="288"/>
        <v>1482670</v>
      </c>
      <c r="K145" s="1">
        <f t="shared" ref="K145:L145" si="289">IF(E145=0, "", I145 / E145)</f>
        <v>60</v>
      </c>
      <c r="L145" s="1">
        <f t="shared" si="289"/>
        <v>70</v>
      </c>
    </row>
    <row r="146">
      <c r="A146" s="1" t="str">
        <f>Data!B146</f>
        <v>Month5</v>
      </c>
      <c r="B146" s="1" t="str">
        <f>Data!C146</f>
        <v>N</v>
      </c>
      <c r="C146" s="1" t="str">
        <f>Data!D146</f>
        <v>Bengaluru</v>
      </c>
      <c r="D146" s="1" t="str">
        <f>Data!E146</f>
        <v>PowerSip</v>
      </c>
      <c r="E146" s="1" t="str">
        <f>Data!F146</f>
        <v>31149</v>
      </c>
      <c r="F146" s="1" t="str">
        <f>Data!G146</f>
        <v>41117</v>
      </c>
      <c r="G146" s="1">
        <f t="shared" si="3"/>
        <v>135</v>
      </c>
      <c r="H146" s="1">
        <f t="shared" si="4"/>
        <v>140</v>
      </c>
      <c r="I146" s="1">
        <f t="shared" ref="I146:J146" si="290">E146 * G146</f>
        <v>4205115</v>
      </c>
      <c r="J146" s="1">
        <f t="shared" si="290"/>
        <v>5756380</v>
      </c>
      <c r="K146" s="1">
        <f t="shared" ref="K146:L146" si="291">IF(E146=0, "", I146 / E146)</f>
        <v>135</v>
      </c>
      <c r="L146" s="1">
        <f t="shared" si="291"/>
        <v>140</v>
      </c>
    </row>
    <row r="147">
      <c r="A147" s="1" t="str">
        <f>Data!B147</f>
        <v>Month5</v>
      </c>
      <c r="B147" s="1" t="str">
        <f>Data!C147</f>
        <v>N</v>
      </c>
      <c r="C147" s="1" t="str">
        <f>Data!D147</f>
        <v>Bengaluru</v>
      </c>
      <c r="D147" s="1" t="str">
        <f>Data!E147</f>
        <v>HappyGrow</v>
      </c>
      <c r="E147" s="1" t="str">
        <f>Data!F147</f>
        <v>24396</v>
      </c>
      <c r="F147" s="1" t="str">
        <f>Data!G147</f>
        <v>29032</v>
      </c>
      <c r="G147" s="1">
        <f t="shared" si="3"/>
        <v>60</v>
      </c>
      <c r="H147" s="1">
        <f t="shared" si="4"/>
        <v>70</v>
      </c>
      <c r="I147" s="1">
        <f t="shared" ref="I147:J147" si="292">E147 * G147</f>
        <v>1463760</v>
      </c>
      <c r="J147" s="1">
        <f t="shared" si="292"/>
        <v>2032240</v>
      </c>
      <c r="K147" s="1">
        <f t="shared" ref="K147:L147" si="293">IF(E147=0, "", I147 / E147)</f>
        <v>60</v>
      </c>
      <c r="L147" s="1">
        <f t="shared" si="293"/>
        <v>70</v>
      </c>
    </row>
    <row r="148">
      <c r="A148" s="1" t="str">
        <f>Data!B148</f>
        <v>Month5</v>
      </c>
      <c r="B148" s="1" t="str">
        <f>Data!C148</f>
        <v>E</v>
      </c>
      <c r="C148" s="1" t="str">
        <f>Data!D148</f>
        <v>Bengaluru</v>
      </c>
      <c r="D148" s="1" t="str">
        <f>Data!E148</f>
        <v>PowerSip</v>
      </c>
      <c r="E148" s="1" t="str">
        <f>Data!F148</f>
        <v>35212</v>
      </c>
      <c r="F148" s="1" t="str">
        <f>Data!G148</f>
        <v>46832</v>
      </c>
      <c r="G148" s="1">
        <f t="shared" si="3"/>
        <v>135</v>
      </c>
      <c r="H148" s="1">
        <f t="shared" si="4"/>
        <v>140</v>
      </c>
      <c r="I148" s="1">
        <f t="shared" ref="I148:J148" si="294">E148 * G148</f>
        <v>4753620</v>
      </c>
      <c r="J148" s="1">
        <f t="shared" si="294"/>
        <v>6556480</v>
      </c>
      <c r="K148" s="1">
        <f t="shared" ref="K148:L148" si="295">IF(E148=0, "", I148 / E148)</f>
        <v>135</v>
      </c>
      <c r="L148" s="1">
        <f t="shared" si="295"/>
        <v>140</v>
      </c>
    </row>
    <row r="149">
      <c r="A149" s="1" t="str">
        <f>Data!B149</f>
        <v>Month5</v>
      </c>
      <c r="B149" s="1" t="str">
        <f>Data!C149</f>
        <v>E</v>
      </c>
      <c r="C149" s="1" t="str">
        <f>Data!D149</f>
        <v>Bengaluru</v>
      </c>
      <c r="D149" s="1" t="str">
        <f>Data!E149</f>
        <v>HappyGrow</v>
      </c>
      <c r="E149" s="1" t="str">
        <f>Data!F149</f>
        <v>19836</v>
      </c>
      <c r="F149" s="1" t="str">
        <f>Data!G149</f>
        <v>23605</v>
      </c>
      <c r="G149" s="1">
        <f t="shared" si="3"/>
        <v>60</v>
      </c>
      <c r="H149" s="1">
        <f t="shared" si="4"/>
        <v>70</v>
      </c>
      <c r="I149" s="1">
        <f t="shared" ref="I149:J149" si="296">E149 * G149</f>
        <v>1190160</v>
      </c>
      <c r="J149" s="1">
        <f t="shared" si="296"/>
        <v>1652350</v>
      </c>
      <c r="K149" s="1">
        <f t="shared" ref="K149:L149" si="297">IF(E149=0, "", I149 / E149)</f>
        <v>60</v>
      </c>
      <c r="L149" s="1">
        <f t="shared" si="297"/>
        <v>70</v>
      </c>
    </row>
    <row r="150">
      <c r="A150" s="1" t="str">
        <f>Data!B150</f>
        <v>Month5</v>
      </c>
      <c r="B150" s="1" t="str">
        <f>Data!C150</f>
        <v>W</v>
      </c>
      <c r="C150" s="1" t="str">
        <f>Data!D150</f>
        <v>Bengaluru</v>
      </c>
      <c r="D150" s="1" t="str">
        <f>Data!E150</f>
        <v>PowerSip</v>
      </c>
      <c r="E150" s="1" t="str">
        <f>Data!F150</f>
        <v>26111</v>
      </c>
      <c r="F150" s="1" t="str">
        <f>Data!G150</f>
        <v>34728</v>
      </c>
      <c r="G150" s="1">
        <f t="shared" si="3"/>
        <v>135</v>
      </c>
      <c r="H150" s="1">
        <f t="shared" si="4"/>
        <v>140</v>
      </c>
      <c r="I150" s="1">
        <f t="shared" ref="I150:J150" si="298">E150 * G150</f>
        <v>3524985</v>
      </c>
      <c r="J150" s="1">
        <f t="shared" si="298"/>
        <v>4861920</v>
      </c>
      <c r="K150" s="1">
        <f t="shared" ref="K150:L150" si="299">IF(E150=0, "", I150 / E150)</f>
        <v>135</v>
      </c>
      <c r="L150" s="1">
        <f t="shared" si="299"/>
        <v>140</v>
      </c>
    </row>
    <row r="151">
      <c r="A151" s="1" t="str">
        <f>Data!B151</f>
        <v>Month5</v>
      </c>
      <c r="B151" s="1" t="str">
        <f>Data!C151</f>
        <v>W</v>
      </c>
      <c r="C151" s="1" t="str">
        <f>Data!D151</f>
        <v>Bengaluru</v>
      </c>
      <c r="D151" s="1" t="str">
        <f>Data!E151</f>
        <v>HappyGrow</v>
      </c>
      <c r="E151" s="1" t="str">
        <f>Data!F151</f>
        <v>18479</v>
      </c>
      <c r="F151" s="1" t="str">
        <f>Data!G151</f>
        <v>22175</v>
      </c>
      <c r="G151" s="1">
        <f t="shared" si="3"/>
        <v>60</v>
      </c>
      <c r="H151" s="1">
        <f t="shared" si="4"/>
        <v>70</v>
      </c>
      <c r="I151" s="1">
        <f t="shared" ref="I151:J151" si="300">E151 * G151</f>
        <v>1108740</v>
      </c>
      <c r="J151" s="1">
        <f t="shared" si="300"/>
        <v>1552250</v>
      </c>
      <c r="K151" s="1">
        <f t="shared" ref="K151:L151" si="301">IF(E151=0, "", I151 / E151)</f>
        <v>60</v>
      </c>
      <c r="L151" s="1">
        <f t="shared" si="301"/>
        <v>70</v>
      </c>
    </row>
    <row r="152">
      <c r="A152" s="1" t="str">
        <f>Data!B152</f>
        <v>Month5</v>
      </c>
      <c r="B152" s="1" t="str">
        <f>Data!C152</f>
        <v>S</v>
      </c>
      <c r="C152" s="1" t="str">
        <f>Data!D152</f>
        <v>Bengaluru</v>
      </c>
      <c r="D152" s="1" t="str">
        <f>Data!E152</f>
        <v>PowerSip</v>
      </c>
      <c r="E152" s="1" t="str">
        <f>Data!F152</f>
        <v>36079</v>
      </c>
      <c r="F152" s="1" t="str">
        <f>Data!G152</f>
        <v>47986</v>
      </c>
      <c r="G152" s="1">
        <f t="shared" si="3"/>
        <v>135</v>
      </c>
      <c r="H152" s="1">
        <f t="shared" si="4"/>
        <v>140</v>
      </c>
      <c r="I152" s="1">
        <f t="shared" ref="I152:J152" si="302">E152 * G152</f>
        <v>4870665</v>
      </c>
      <c r="J152" s="1">
        <f t="shared" si="302"/>
        <v>6718040</v>
      </c>
      <c r="K152" s="1">
        <f t="shared" ref="K152:L152" si="303">IF(E152=0, "", I152 / E152)</f>
        <v>135</v>
      </c>
      <c r="L152" s="1">
        <f t="shared" si="303"/>
        <v>140</v>
      </c>
    </row>
    <row r="153">
      <c r="A153" s="1" t="str">
        <f>Data!B153</f>
        <v>Month5</v>
      </c>
      <c r="B153" s="1" t="str">
        <f>Data!C153</f>
        <v>S</v>
      </c>
      <c r="C153" s="1" t="str">
        <f>Data!D153</f>
        <v>Bengaluru</v>
      </c>
      <c r="D153" s="1" t="str">
        <f>Data!E153</f>
        <v>HappyGrow</v>
      </c>
      <c r="E153" s="1" t="str">
        <f>Data!F153</f>
        <v>32591</v>
      </c>
      <c r="F153" s="1" t="str">
        <f>Data!G153</f>
        <v>39110</v>
      </c>
      <c r="G153" s="1">
        <f t="shared" si="3"/>
        <v>60</v>
      </c>
      <c r="H153" s="1">
        <f t="shared" si="4"/>
        <v>70</v>
      </c>
      <c r="I153" s="1">
        <f t="shared" ref="I153:J153" si="304">E153 * G153</f>
        <v>1955460</v>
      </c>
      <c r="J153" s="1">
        <f t="shared" si="304"/>
        <v>2737700</v>
      </c>
      <c r="K153" s="1">
        <f t="shared" ref="K153:L153" si="305">IF(E153=0, "", I153 / E153)</f>
        <v>60</v>
      </c>
      <c r="L153" s="1">
        <f t="shared" si="305"/>
        <v>70</v>
      </c>
    </row>
    <row r="154">
      <c r="A154" s="1" t="str">
        <f>Data!B154</f>
        <v>Month5</v>
      </c>
      <c r="B154" s="1" t="str">
        <f>Data!C154</f>
        <v>N</v>
      </c>
      <c r="C154" s="1" t="str">
        <f>Data!D154</f>
        <v>Delhi</v>
      </c>
      <c r="D154" s="1" t="str">
        <f>Data!E154</f>
        <v>PowerSip</v>
      </c>
      <c r="E154" s="1" t="str">
        <f>Data!F154</f>
        <v>29037</v>
      </c>
      <c r="F154" s="1" t="str">
        <f>Data!G154</f>
        <v>38620</v>
      </c>
      <c r="G154" s="1">
        <f t="shared" si="3"/>
        <v>135</v>
      </c>
      <c r="H154" s="1">
        <f t="shared" si="4"/>
        <v>140</v>
      </c>
      <c r="I154" s="1">
        <f t="shared" ref="I154:J154" si="306">E154 * G154</f>
        <v>3919995</v>
      </c>
      <c r="J154" s="1">
        <f t="shared" si="306"/>
        <v>5406800</v>
      </c>
      <c r="K154" s="1">
        <f t="shared" ref="K154:L154" si="307">IF(E154=0, "", I154 / E154)</f>
        <v>135</v>
      </c>
      <c r="L154" s="1">
        <f t="shared" si="307"/>
        <v>140</v>
      </c>
    </row>
    <row r="155">
      <c r="A155" s="1" t="str">
        <f>Data!B155</f>
        <v>Month5</v>
      </c>
      <c r="B155" s="1" t="str">
        <f>Data!C155</f>
        <v>N</v>
      </c>
      <c r="C155" s="1" t="str">
        <f>Data!D155</f>
        <v>Delhi</v>
      </c>
      <c r="D155" s="1" t="str">
        <f>Data!E155</f>
        <v>HappyGrow</v>
      </c>
      <c r="E155" s="1" t="str">
        <f>Data!F155</f>
        <v>16150</v>
      </c>
      <c r="F155" s="1" t="str">
        <f>Data!G155</f>
        <v>19542</v>
      </c>
      <c r="G155" s="1">
        <f t="shared" si="3"/>
        <v>60</v>
      </c>
      <c r="H155" s="1">
        <f t="shared" si="4"/>
        <v>70</v>
      </c>
      <c r="I155" s="1">
        <f t="shared" ref="I155:J155" si="308">E155 * G155</f>
        <v>969000</v>
      </c>
      <c r="J155" s="1">
        <f t="shared" si="308"/>
        <v>1367940</v>
      </c>
      <c r="K155" s="1">
        <f t="shared" ref="K155:L155" si="309">IF(E155=0, "", I155 / E155)</f>
        <v>60</v>
      </c>
      <c r="L155" s="1">
        <f t="shared" si="309"/>
        <v>70</v>
      </c>
    </row>
    <row r="156">
      <c r="A156" s="1" t="str">
        <f>Data!B156</f>
        <v>Month5</v>
      </c>
      <c r="B156" s="1" t="str">
        <f>Data!C156</f>
        <v>E</v>
      </c>
      <c r="C156" s="1" t="str">
        <f>Data!D156</f>
        <v>Delhi</v>
      </c>
      <c r="D156" s="1" t="str">
        <f>Data!E156</f>
        <v>PowerSip</v>
      </c>
      <c r="E156" s="1" t="str">
        <f>Data!F156</f>
        <v>31582</v>
      </c>
      <c r="F156" s="1" t="str">
        <f>Data!G156</f>
        <v>42005</v>
      </c>
      <c r="G156" s="1">
        <f t="shared" si="3"/>
        <v>135</v>
      </c>
      <c r="H156" s="1">
        <f t="shared" si="4"/>
        <v>140</v>
      </c>
      <c r="I156" s="1">
        <f t="shared" ref="I156:J156" si="310">E156 * G156</f>
        <v>4263570</v>
      </c>
      <c r="J156" s="1">
        <f t="shared" si="310"/>
        <v>5880700</v>
      </c>
      <c r="K156" s="1">
        <f t="shared" ref="K156:L156" si="311">IF(E156=0, "", I156 / E156)</f>
        <v>135</v>
      </c>
      <c r="L156" s="1">
        <f t="shared" si="311"/>
        <v>140</v>
      </c>
    </row>
    <row r="157">
      <c r="A157" s="1" t="str">
        <f>Data!B157</f>
        <v>Month5</v>
      </c>
      <c r="B157" s="1" t="str">
        <f>Data!C157</f>
        <v>E</v>
      </c>
      <c r="C157" s="1" t="str">
        <f>Data!D157</f>
        <v>Delhi</v>
      </c>
      <c r="D157" s="1" t="str">
        <f>Data!E157</f>
        <v>HappyGrow</v>
      </c>
      <c r="E157" s="1" t="str">
        <f>Data!F157</f>
        <v>17460</v>
      </c>
      <c r="F157" s="1" t="str">
        <f>Data!G157</f>
        <v>21127</v>
      </c>
      <c r="G157" s="1">
        <f t="shared" si="3"/>
        <v>60</v>
      </c>
      <c r="H157" s="1">
        <f t="shared" si="4"/>
        <v>70</v>
      </c>
      <c r="I157" s="1">
        <f t="shared" ref="I157:J157" si="312">E157 * G157</f>
        <v>1047600</v>
      </c>
      <c r="J157" s="1">
        <f t="shared" si="312"/>
        <v>1478890</v>
      </c>
      <c r="K157" s="1">
        <f t="shared" ref="K157:L157" si="313">IF(E157=0, "", I157 / E157)</f>
        <v>60</v>
      </c>
      <c r="L157" s="1">
        <f t="shared" si="313"/>
        <v>70</v>
      </c>
    </row>
    <row r="158">
      <c r="A158" s="1" t="str">
        <f>Data!B158</f>
        <v>Month5</v>
      </c>
      <c r="B158" s="1" t="str">
        <f>Data!C158</f>
        <v>W</v>
      </c>
      <c r="C158" s="1" t="str">
        <f>Data!D158</f>
        <v>Delhi</v>
      </c>
      <c r="D158" s="1" t="str">
        <f>Data!E158</f>
        <v>PowerSip</v>
      </c>
      <c r="E158" s="1" t="str">
        <f>Data!F158</f>
        <v>29415</v>
      </c>
      <c r="F158" s="1" t="str">
        <f>Data!G158</f>
        <v>39417</v>
      </c>
      <c r="G158" s="1">
        <f t="shared" si="3"/>
        <v>135</v>
      </c>
      <c r="H158" s="1">
        <f t="shared" si="4"/>
        <v>140</v>
      </c>
      <c r="I158" s="1">
        <f t="shared" ref="I158:J158" si="314">E158 * G158</f>
        <v>3971025</v>
      </c>
      <c r="J158" s="1">
        <f t="shared" si="314"/>
        <v>5518380</v>
      </c>
      <c r="K158" s="1">
        <f t="shared" ref="K158:L158" si="315">IF(E158=0, "", I158 / E158)</f>
        <v>135</v>
      </c>
      <c r="L158" s="1">
        <f t="shared" si="315"/>
        <v>140</v>
      </c>
    </row>
    <row r="159">
      <c r="A159" s="1" t="str">
        <f>Data!B159</f>
        <v>Month5</v>
      </c>
      <c r="B159" s="1" t="str">
        <f>Data!C159</f>
        <v>W</v>
      </c>
      <c r="C159" s="1" t="str">
        <f>Data!D159</f>
        <v>Delhi</v>
      </c>
      <c r="D159" s="1" t="str">
        <f>Data!E159</f>
        <v>HappyGrow</v>
      </c>
      <c r="E159" s="1" t="str">
        <f>Data!F159</f>
        <v>19982</v>
      </c>
      <c r="F159" s="1" t="str">
        <f>Data!G159</f>
        <v>24179</v>
      </c>
      <c r="G159" s="1">
        <f t="shared" si="3"/>
        <v>60</v>
      </c>
      <c r="H159" s="1">
        <f t="shared" si="4"/>
        <v>70</v>
      </c>
      <c r="I159" s="1">
        <f t="shared" ref="I159:J159" si="316">E159 * G159</f>
        <v>1198920</v>
      </c>
      <c r="J159" s="1">
        <f t="shared" si="316"/>
        <v>1692530</v>
      </c>
      <c r="K159" s="1">
        <f t="shared" ref="K159:L159" si="317">IF(E159=0, "", I159 / E159)</f>
        <v>60</v>
      </c>
      <c r="L159" s="1">
        <f t="shared" si="317"/>
        <v>70</v>
      </c>
    </row>
    <row r="160">
      <c r="A160" s="1" t="str">
        <f>Data!B160</f>
        <v>Month5</v>
      </c>
      <c r="B160" s="1" t="str">
        <f>Data!C160</f>
        <v>S</v>
      </c>
      <c r="C160" s="1" t="str">
        <f>Data!D160</f>
        <v>Delhi</v>
      </c>
      <c r="D160" s="1" t="str">
        <f>Data!E160</f>
        <v>PowerSip</v>
      </c>
      <c r="E160" s="1" t="str">
        <f>Data!F160</f>
        <v>25353</v>
      </c>
      <c r="F160" s="1" t="str">
        <f>Data!G160</f>
        <v>33974</v>
      </c>
      <c r="G160" s="1">
        <f t="shared" si="3"/>
        <v>135</v>
      </c>
      <c r="H160" s="1">
        <f t="shared" si="4"/>
        <v>140</v>
      </c>
      <c r="I160" s="1">
        <f t="shared" ref="I160:J160" si="318">E160 * G160</f>
        <v>3422655</v>
      </c>
      <c r="J160" s="1">
        <f t="shared" si="318"/>
        <v>4756360</v>
      </c>
      <c r="K160" s="1">
        <f t="shared" ref="K160:L160" si="319">IF(E160=0, "", I160 / E160)</f>
        <v>135</v>
      </c>
      <c r="L160" s="1">
        <f t="shared" si="319"/>
        <v>140</v>
      </c>
    </row>
    <row r="161">
      <c r="A161" s="1" t="str">
        <f>Data!B161</f>
        <v>Month5</v>
      </c>
      <c r="B161" s="1" t="str">
        <f>Data!C161</f>
        <v>S</v>
      </c>
      <c r="C161" s="1" t="str">
        <f>Data!D161</f>
        <v>Delhi</v>
      </c>
      <c r="D161" s="1" t="str">
        <f>Data!E161</f>
        <v>HappyGrow</v>
      </c>
      <c r="E161" s="1" t="str">
        <f>Data!F161</f>
        <v>29974</v>
      </c>
      <c r="F161" s="1" t="str">
        <f>Data!G161</f>
        <v>36269</v>
      </c>
      <c r="G161" s="1">
        <f t="shared" si="3"/>
        <v>60</v>
      </c>
      <c r="H161" s="1">
        <f t="shared" si="4"/>
        <v>70</v>
      </c>
      <c r="I161" s="1">
        <f t="shared" ref="I161:J161" si="320">E161 * G161</f>
        <v>1798440</v>
      </c>
      <c r="J161" s="1">
        <f t="shared" si="320"/>
        <v>2538830</v>
      </c>
      <c r="K161" s="1">
        <f t="shared" ref="K161:L161" si="321">IF(E161=0, "", I161 / E161)</f>
        <v>60</v>
      </c>
      <c r="L161" s="1">
        <f t="shared" si="321"/>
        <v>70</v>
      </c>
    </row>
    <row r="162">
      <c r="A162" s="1" t="str">
        <f>Data!B162</f>
        <v>Month6</v>
      </c>
      <c r="B162" s="1" t="str">
        <f>Data!C162</f>
        <v>N</v>
      </c>
      <c r="C162" s="1" t="str">
        <f>Data!D162</f>
        <v>Chennai</v>
      </c>
      <c r="D162" s="1" t="str">
        <f>Data!E162</f>
        <v>PowerSip</v>
      </c>
      <c r="E162" s="1" t="str">
        <f>Data!F162</f>
        <v>34621</v>
      </c>
      <c r="F162" s="1" t="str">
        <f>Data!G162</f>
        <v>46739</v>
      </c>
      <c r="G162" s="1">
        <f t="shared" si="3"/>
        <v>135</v>
      </c>
      <c r="H162" s="1">
        <f t="shared" si="4"/>
        <v>140</v>
      </c>
      <c r="I162" s="1">
        <f t="shared" ref="I162:J162" si="322">E162 * G162</f>
        <v>4673835</v>
      </c>
      <c r="J162" s="1">
        <f t="shared" si="322"/>
        <v>6543460</v>
      </c>
      <c r="K162" s="1">
        <f t="shared" ref="K162:L162" si="323">IF(E162=0, "", I162 / E162)</f>
        <v>135</v>
      </c>
      <c r="L162" s="1">
        <f t="shared" si="323"/>
        <v>140</v>
      </c>
    </row>
    <row r="163">
      <c r="A163" s="1" t="str">
        <f>Data!B163</f>
        <v>Month6</v>
      </c>
      <c r="B163" s="1" t="str">
        <f>Data!C163</f>
        <v>N</v>
      </c>
      <c r="C163" s="1" t="str">
        <f>Data!D163</f>
        <v>Chennai</v>
      </c>
      <c r="D163" s="1" t="str">
        <f>Data!E163</f>
        <v>HappyGrow</v>
      </c>
      <c r="E163" s="1" t="str">
        <f>Data!F163</f>
        <v>23353</v>
      </c>
      <c r="F163" s="1" t="str">
        <f>Data!G163</f>
        <v>28258</v>
      </c>
      <c r="G163" s="1">
        <f t="shared" si="3"/>
        <v>60</v>
      </c>
      <c r="H163" s="1">
        <f t="shared" si="4"/>
        <v>70</v>
      </c>
      <c r="I163" s="1">
        <f t="shared" ref="I163:J163" si="324">E163 * G163</f>
        <v>1401180</v>
      </c>
      <c r="J163" s="1">
        <f t="shared" si="324"/>
        <v>1978060</v>
      </c>
      <c r="K163" s="1">
        <f t="shared" ref="K163:L163" si="325">IF(E163=0, "", I163 / E163)</f>
        <v>60</v>
      </c>
      <c r="L163" s="1">
        <f t="shared" si="325"/>
        <v>70</v>
      </c>
    </row>
    <row r="164">
      <c r="A164" s="1" t="str">
        <f>Data!B164</f>
        <v>Month6</v>
      </c>
      <c r="B164" s="1" t="str">
        <f>Data!C164</f>
        <v>E</v>
      </c>
      <c r="C164" s="1" t="str">
        <f>Data!D164</f>
        <v>Chennai</v>
      </c>
      <c r="D164" s="1" t="str">
        <f>Data!E164</f>
        <v>PowerSip</v>
      </c>
      <c r="E164" s="1" t="str">
        <f>Data!F164</f>
        <v>18473</v>
      </c>
      <c r="F164" s="1" t="str">
        <f>Data!G164</f>
        <v>24939</v>
      </c>
      <c r="G164" s="1">
        <f t="shared" si="3"/>
        <v>135</v>
      </c>
      <c r="H164" s="1">
        <f t="shared" si="4"/>
        <v>140</v>
      </c>
      <c r="I164" s="1">
        <f t="shared" ref="I164:J164" si="326">E164 * G164</f>
        <v>2493855</v>
      </c>
      <c r="J164" s="1">
        <f t="shared" si="326"/>
        <v>3491460</v>
      </c>
      <c r="K164" s="1">
        <f t="shared" ref="K164:L164" si="327">IF(E164=0, "", I164 / E164)</f>
        <v>135</v>
      </c>
      <c r="L164" s="1">
        <f t="shared" si="327"/>
        <v>140</v>
      </c>
    </row>
    <row r="165">
      <c r="A165" s="1" t="str">
        <f>Data!B165</f>
        <v>Month6</v>
      </c>
      <c r="B165" s="1" t="str">
        <f>Data!C165</f>
        <v>E</v>
      </c>
      <c r="C165" s="1" t="str">
        <f>Data!D165</f>
        <v>Chennai</v>
      </c>
      <c r="D165" s="1" t="str">
        <f>Data!E165</f>
        <v>HappyGrow</v>
      </c>
      <c r="E165" s="1" t="str">
        <f>Data!F165</f>
        <v>31344</v>
      </c>
      <c r="F165" s="1" t="str">
        <f>Data!G165</f>
        <v>38240</v>
      </c>
      <c r="G165" s="1">
        <f t="shared" si="3"/>
        <v>60</v>
      </c>
      <c r="H165" s="1">
        <f t="shared" si="4"/>
        <v>70</v>
      </c>
      <c r="I165" s="1">
        <f t="shared" ref="I165:J165" si="328">E165 * G165</f>
        <v>1880640</v>
      </c>
      <c r="J165" s="1">
        <f t="shared" si="328"/>
        <v>2676800</v>
      </c>
      <c r="K165" s="1">
        <f t="shared" ref="K165:L165" si="329">IF(E165=0, "", I165 / E165)</f>
        <v>60</v>
      </c>
      <c r="L165" s="1">
        <f t="shared" si="329"/>
        <v>70</v>
      </c>
    </row>
    <row r="166">
      <c r="A166" s="1" t="str">
        <f>Data!B166</f>
        <v>Month6</v>
      </c>
      <c r="B166" s="1" t="str">
        <f>Data!C166</f>
        <v>W</v>
      </c>
      <c r="C166" s="1" t="str">
        <f>Data!D166</f>
        <v>Chennai</v>
      </c>
      <c r="D166" s="1" t="str">
        <f>Data!E166</f>
        <v>PowerSip</v>
      </c>
      <c r="E166" s="1" t="str">
        <f>Data!F166</f>
        <v>22108</v>
      </c>
      <c r="F166" s="1" t="str">
        <f>Data!G166</f>
        <v>30067</v>
      </c>
      <c r="G166" s="1">
        <f t="shared" si="3"/>
        <v>135</v>
      </c>
      <c r="H166" s="1">
        <f t="shared" si="4"/>
        <v>140</v>
      </c>
      <c r="I166" s="1">
        <f t="shared" ref="I166:J166" si="330">E166 * G166</f>
        <v>2984580</v>
      </c>
      <c r="J166" s="1">
        <f t="shared" si="330"/>
        <v>4209380</v>
      </c>
      <c r="K166" s="1">
        <f t="shared" ref="K166:L166" si="331">IF(E166=0, "", I166 / E166)</f>
        <v>135</v>
      </c>
      <c r="L166" s="1">
        <f t="shared" si="331"/>
        <v>140</v>
      </c>
    </row>
    <row r="167">
      <c r="A167" s="1" t="str">
        <f>Data!B167</f>
        <v>Month6</v>
      </c>
      <c r="B167" s="1" t="str">
        <f>Data!C167</f>
        <v>W</v>
      </c>
      <c r="C167" s="1" t="str">
        <f>Data!D167</f>
        <v>Chennai</v>
      </c>
      <c r="D167" s="1" t="str">
        <f>Data!E167</f>
        <v>HappyGrow</v>
      </c>
      <c r="E167" s="1" t="str">
        <f>Data!F167</f>
        <v>22159</v>
      </c>
      <c r="F167" s="1" t="str">
        <f>Data!G167</f>
        <v>27034</v>
      </c>
      <c r="G167" s="1">
        <f t="shared" si="3"/>
        <v>60</v>
      </c>
      <c r="H167" s="1">
        <f t="shared" si="4"/>
        <v>70</v>
      </c>
      <c r="I167" s="1">
        <f t="shared" ref="I167:J167" si="332">E167 * G167</f>
        <v>1329540</v>
      </c>
      <c r="J167" s="1">
        <f t="shared" si="332"/>
        <v>1892380</v>
      </c>
      <c r="K167" s="1">
        <f t="shared" ref="K167:L167" si="333">IF(E167=0, "", I167 / E167)</f>
        <v>60</v>
      </c>
      <c r="L167" s="1">
        <f t="shared" si="333"/>
        <v>70</v>
      </c>
    </row>
    <row r="168">
      <c r="A168" s="1" t="str">
        <f>Data!B168</f>
        <v>Month6</v>
      </c>
      <c r="B168" s="1" t="str">
        <f>Data!C168</f>
        <v>S</v>
      </c>
      <c r="C168" s="1" t="str">
        <f>Data!D168</f>
        <v>Chennai</v>
      </c>
      <c r="D168" s="1" t="str">
        <f>Data!E168</f>
        <v>PowerSip</v>
      </c>
      <c r="E168" s="1" t="str">
        <f>Data!F168</f>
        <v>39985</v>
      </c>
      <c r="F168" s="1" t="str">
        <f>Data!G168</f>
        <v>54380</v>
      </c>
      <c r="G168" s="1">
        <f t="shared" si="3"/>
        <v>135</v>
      </c>
      <c r="H168" s="1">
        <f t="shared" si="4"/>
        <v>140</v>
      </c>
      <c r="I168" s="1">
        <f t="shared" ref="I168:J168" si="334">E168 * G168</f>
        <v>5397975</v>
      </c>
      <c r="J168" s="1">
        <f t="shared" si="334"/>
        <v>7613200</v>
      </c>
      <c r="K168" s="1">
        <f t="shared" ref="K168:L168" si="335">IF(E168=0, "", I168 / E168)</f>
        <v>135</v>
      </c>
      <c r="L168" s="1">
        <f t="shared" si="335"/>
        <v>140</v>
      </c>
    </row>
    <row r="169">
      <c r="A169" s="1" t="str">
        <f>Data!B169</f>
        <v>Month6</v>
      </c>
      <c r="B169" s="1" t="str">
        <f>Data!C169</f>
        <v>S</v>
      </c>
      <c r="C169" s="1" t="str">
        <f>Data!D169</f>
        <v>Chennai</v>
      </c>
      <c r="D169" s="1" t="str">
        <f>Data!E169</f>
        <v>HappyGrow</v>
      </c>
      <c r="E169" s="1" t="str">
        <f>Data!F169</f>
        <v>18890</v>
      </c>
      <c r="F169" s="1" t="str">
        <f>Data!G169</f>
        <v>23046</v>
      </c>
      <c r="G169" s="1">
        <f t="shared" si="3"/>
        <v>60</v>
      </c>
      <c r="H169" s="1">
        <f t="shared" si="4"/>
        <v>70</v>
      </c>
      <c r="I169" s="1">
        <f t="shared" ref="I169:J169" si="336">E169 * G169</f>
        <v>1133400</v>
      </c>
      <c r="J169" s="1">
        <f t="shared" si="336"/>
        <v>1613220</v>
      </c>
      <c r="K169" s="1">
        <f t="shared" ref="K169:L169" si="337">IF(E169=0, "", I169 / E169)</f>
        <v>60</v>
      </c>
      <c r="L169" s="1">
        <f t="shared" si="337"/>
        <v>70</v>
      </c>
    </row>
    <row r="170">
      <c r="A170" s="1" t="str">
        <f>Data!B170</f>
        <v>Month6</v>
      </c>
      <c r="B170" s="1" t="str">
        <f>Data!C170</f>
        <v>N</v>
      </c>
      <c r="C170" s="1" t="str">
        <f>Data!D170</f>
        <v>Mumbai</v>
      </c>
      <c r="D170" s="1" t="str">
        <f>Data!E170</f>
        <v>PowerSip</v>
      </c>
      <c r="E170" s="1" t="str">
        <f>Data!F170</f>
        <v>35814</v>
      </c>
      <c r="F170" s="1" t="str">
        <f>Data!G170</f>
        <v>49066</v>
      </c>
      <c r="G170" s="1">
        <f t="shared" si="3"/>
        <v>135</v>
      </c>
      <c r="H170" s="1">
        <f t="shared" si="4"/>
        <v>140</v>
      </c>
      <c r="I170" s="1">
        <f t="shared" ref="I170:J170" si="338">E170 * G170</f>
        <v>4834890</v>
      </c>
      <c r="J170" s="1">
        <f t="shared" si="338"/>
        <v>6869240</v>
      </c>
      <c r="K170" s="1">
        <f t="shared" ref="K170:L170" si="339">IF(E170=0, "", I170 / E170)</f>
        <v>135</v>
      </c>
      <c r="L170" s="1">
        <f t="shared" si="339"/>
        <v>140</v>
      </c>
    </row>
    <row r="171">
      <c r="A171" s="1" t="str">
        <f>Data!B171</f>
        <v>Month6</v>
      </c>
      <c r="B171" s="1" t="str">
        <f>Data!C171</f>
        <v>N</v>
      </c>
      <c r="C171" s="1" t="str">
        <f>Data!D171</f>
        <v>Mumbai</v>
      </c>
      <c r="D171" s="1" t="str">
        <f>Data!E171</f>
        <v>HappyGrow</v>
      </c>
      <c r="E171" s="1" t="str">
        <f>Data!F171</f>
        <v>32848</v>
      </c>
      <c r="F171" s="1" t="str">
        <f>Data!G171</f>
        <v>40075</v>
      </c>
      <c r="G171" s="1">
        <f t="shared" si="3"/>
        <v>60</v>
      </c>
      <c r="H171" s="1">
        <f t="shared" si="4"/>
        <v>70</v>
      </c>
      <c r="I171" s="1">
        <f t="shared" ref="I171:J171" si="340">E171 * G171</f>
        <v>1970880</v>
      </c>
      <c r="J171" s="1">
        <f t="shared" si="340"/>
        <v>2805250</v>
      </c>
      <c r="K171" s="1">
        <f t="shared" ref="K171:L171" si="341">IF(E171=0, "", I171 / E171)</f>
        <v>60</v>
      </c>
      <c r="L171" s="1">
        <f t="shared" si="341"/>
        <v>70</v>
      </c>
    </row>
    <row r="172">
      <c r="A172" s="1" t="str">
        <f>Data!B172</f>
        <v>Month6</v>
      </c>
      <c r="B172" s="1" t="str">
        <f>Data!C172</f>
        <v>E</v>
      </c>
      <c r="C172" s="1" t="str">
        <f>Data!D172</f>
        <v>Mumbai</v>
      </c>
      <c r="D172" s="1" t="str">
        <f>Data!E172</f>
        <v>PowerSip</v>
      </c>
      <c r="E172" s="1" t="str">
        <f>Data!F172</f>
        <v>20083</v>
      </c>
      <c r="F172" s="1" t="str">
        <f>Data!G172</f>
        <v>27514</v>
      </c>
      <c r="G172" s="1">
        <f t="shared" si="3"/>
        <v>135</v>
      </c>
      <c r="H172" s="1">
        <f t="shared" si="4"/>
        <v>140</v>
      </c>
      <c r="I172" s="1">
        <f t="shared" ref="I172:J172" si="342">E172 * G172</f>
        <v>2711205</v>
      </c>
      <c r="J172" s="1">
        <f t="shared" si="342"/>
        <v>3851960</v>
      </c>
      <c r="K172" s="1">
        <f t="shared" ref="K172:L172" si="343">IF(E172=0, "", I172 / E172)</f>
        <v>135</v>
      </c>
      <c r="L172" s="1">
        <f t="shared" si="343"/>
        <v>140</v>
      </c>
    </row>
    <row r="173">
      <c r="A173" s="1" t="str">
        <f>Data!B173</f>
        <v>Month6</v>
      </c>
      <c r="B173" s="1" t="str">
        <f>Data!C173</f>
        <v>E</v>
      </c>
      <c r="C173" s="1" t="str">
        <f>Data!D173</f>
        <v>Mumbai</v>
      </c>
      <c r="D173" s="1" t="str">
        <f>Data!E173</f>
        <v>HappyGrow</v>
      </c>
      <c r="E173" s="1" t="str">
        <f>Data!F173</f>
        <v>22938</v>
      </c>
      <c r="F173" s="1" t="str">
        <f>Data!G173</f>
        <v>27985</v>
      </c>
      <c r="G173" s="1">
        <f t="shared" si="3"/>
        <v>60</v>
      </c>
      <c r="H173" s="1">
        <f t="shared" si="4"/>
        <v>70</v>
      </c>
      <c r="I173" s="1">
        <f t="shared" ref="I173:J173" si="344">E173 * G173</f>
        <v>1376280</v>
      </c>
      <c r="J173" s="1">
        <f t="shared" si="344"/>
        <v>1958950</v>
      </c>
      <c r="K173" s="1">
        <f t="shared" ref="K173:L173" si="345">IF(E173=0, "", I173 / E173)</f>
        <v>60</v>
      </c>
      <c r="L173" s="1">
        <f t="shared" si="345"/>
        <v>70</v>
      </c>
    </row>
    <row r="174">
      <c r="A174" s="1" t="str">
        <f>Data!B174</f>
        <v>Month6</v>
      </c>
      <c r="B174" s="1" t="str">
        <f>Data!C174</f>
        <v>W</v>
      </c>
      <c r="C174" s="1" t="str">
        <f>Data!D174</f>
        <v>Mumbai</v>
      </c>
      <c r="D174" s="1" t="str">
        <f>Data!E174</f>
        <v>PowerSip</v>
      </c>
      <c r="E174" s="1" t="str">
        <f>Data!F174</f>
        <v>31463</v>
      </c>
      <c r="F174" s="1" t="str">
        <f>Data!G174</f>
        <v>43419</v>
      </c>
      <c r="G174" s="1">
        <f t="shared" si="3"/>
        <v>135</v>
      </c>
      <c r="H174" s="1">
        <f t="shared" si="4"/>
        <v>140</v>
      </c>
      <c r="I174" s="1">
        <f t="shared" ref="I174:J174" si="346">E174 * G174</f>
        <v>4247505</v>
      </c>
      <c r="J174" s="1">
        <f t="shared" si="346"/>
        <v>6078660</v>
      </c>
      <c r="K174" s="1">
        <f t="shared" ref="K174:L174" si="347">IF(E174=0, "", I174 / E174)</f>
        <v>135</v>
      </c>
      <c r="L174" s="1">
        <f t="shared" si="347"/>
        <v>140</v>
      </c>
    </row>
    <row r="175">
      <c r="A175" s="1" t="str">
        <f>Data!B175</f>
        <v>Month6</v>
      </c>
      <c r="B175" s="1" t="str">
        <f>Data!C175</f>
        <v>W</v>
      </c>
      <c r="C175" s="1" t="str">
        <f>Data!D175</f>
        <v>Mumbai</v>
      </c>
      <c r="D175" s="1" t="str">
        <f>Data!E175</f>
        <v>HappyGrow</v>
      </c>
      <c r="E175" s="1" t="str">
        <f>Data!F175</f>
        <v>15931</v>
      </c>
      <c r="F175" s="1" t="str">
        <f>Data!G175</f>
        <v>19436</v>
      </c>
      <c r="G175" s="1">
        <f t="shared" si="3"/>
        <v>60</v>
      </c>
      <c r="H175" s="1">
        <f t="shared" si="4"/>
        <v>70</v>
      </c>
      <c r="I175" s="1">
        <f t="shared" ref="I175:J175" si="348">E175 * G175</f>
        <v>955860</v>
      </c>
      <c r="J175" s="1">
        <f t="shared" si="348"/>
        <v>1360520</v>
      </c>
      <c r="K175" s="1">
        <f t="shared" ref="K175:L175" si="349">IF(E175=0, "", I175 / E175)</f>
        <v>60</v>
      </c>
      <c r="L175" s="1">
        <f t="shared" si="349"/>
        <v>70</v>
      </c>
    </row>
    <row r="176">
      <c r="A176" s="1" t="str">
        <f>Data!B176</f>
        <v>Month6</v>
      </c>
      <c r="B176" s="1" t="str">
        <f>Data!C176</f>
        <v>S</v>
      </c>
      <c r="C176" s="1" t="str">
        <f>Data!D176</f>
        <v>Mumbai</v>
      </c>
      <c r="D176" s="1" t="str">
        <f>Data!E176</f>
        <v>PowerSip</v>
      </c>
      <c r="E176" s="1" t="str">
        <f>Data!F176</f>
        <v>19427</v>
      </c>
      <c r="F176" s="1" t="str">
        <f>Data!G176</f>
        <v>27004</v>
      </c>
      <c r="G176" s="1">
        <f t="shared" si="3"/>
        <v>135</v>
      </c>
      <c r="H176" s="1">
        <f t="shared" si="4"/>
        <v>140</v>
      </c>
      <c r="I176" s="1">
        <f t="shared" ref="I176:J176" si="350">E176 * G176</f>
        <v>2622645</v>
      </c>
      <c r="J176" s="1">
        <f t="shared" si="350"/>
        <v>3780560</v>
      </c>
      <c r="K176" s="1">
        <f t="shared" ref="K176:L176" si="351">IF(E176=0, "", I176 / E176)</f>
        <v>135</v>
      </c>
      <c r="L176" s="1">
        <f t="shared" si="351"/>
        <v>140</v>
      </c>
    </row>
    <row r="177">
      <c r="A177" s="1" t="str">
        <f>Data!B177</f>
        <v>Month6</v>
      </c>
      <c r="B177" s="1" t="str">
        <f>Data!C177</f>
        <v>S</v>
      </c>
      <c r="C177" s="1" t="str">
        <f>Data!D177</f>
        <v>Mumbai</v>
      </c>
      <c r="D177" s="1" t="str">
        <f>Data!E177</f>
        <v>HappyGrow</v>
      </c>
      <c r="E177" s="1" t="str">
        <f>Data!F177</f>
        <v>19045</v>
      </c>
      <c r="F177" s="1" t="str">
        <f>Data!G177</f>
        <v>23235</v>
      </c>
      <c r="G177" s="1">
        <f t="shared" si="3"/>
        <v>60</v>
      </c>
      <c r="H177" s="1">
        <f t="shared" si="4"/>
        <v>70</v>
      </c>
      <c r="I177" s="1">
        <f t="shared" ref="I177:J177" si="352">E177 * G177</f>
        <v>1142700</v>
      </c>
      <c r="J177" s="1">
        <f t="shared" si="352"/>
        <v>1626450</v>
      </c>
      <c r="K177" s="1">
        <f t="shared" ref="K177:L177" si="353">IF(E177=0, "", I177 / E177)</f>
        <v>60</v>
      </c>
      <c r="L177" s="1">
        <f t="shared" si="353"/>
        <v>70</v>
      </c>
    </row>
    <row r="178">
      <c r="A178" s="1" t="str">
        <f>Data!B178</f>
        <v>Month6</v>
      </c>
      <c r="B178" s="1" t="str">
        <f>Data!C178</f>
        <v>N</v>
      </c>
      <c r="C178" s="1" t="str">
        <f>Data!D178</f>
        <v>Bengaluru</v>
      </c>
      <c r="D178" s="1" t="str">
        <f>Data!E178</f>
        <v>PowerSip</v>
      </c>
      <c r="E178" s="1" t="str">
        <f>Data!F178</f>
        <v>34264</v>
      </c>
      <c r="F178" s="1" t="str">
        <f>Data!G178</f>
        <v>47627</v>
      </c>
      <c r="G178" s="1">
        <f t="shared" si="3"/>
        <v>135</v>
      </c>
      <c r="H178" s="1">
        <f t="shared" si="4"/>
        <v>140</v>
      </c>
      <c r="I178" s="1">
        <f t="shared" ref="I178:J178" si="354">E178 * G178</f>
        <v>4625640</v>
      </c>
      <c r="J178" s="1">
        <f t="shared" si="354"/>
        <v>6667780</v>
      </c>
      <c r="K178" s="1">
        <f t="shared" ref="K178:L178" si="355">IF(E178=0, "", I178 / E178)</f>
        <v>135</v>
      </c>
      <c r="L178" s="1">
        <f t="shared" si="355"/>
        <v>140</v>
      </c>
    </row>
    <row r="179">
      <c r="A179" s="1" t="str">
        <f>Data!B179</f>
        <v>Month6</v>
      </c>
      <c r="B179" s="1" t="str">
        <f>Data!C179</f>
        <v>N</v>
      </c>
      <c r="C179" s="1" t="str">
        <f>Data!D179</f>
        <v>Bengaluru</v>
      </c>
      <c r="D179" s="1" t="str">
        <f>Data!E179</f>
        <v>HappyGrow</v>
      </c>
      <c r="E179" s="1" t="str">
        <f>Data!F179</f>
        <v>26104</v>
      </c>
      <c r="F179" s="1" t="str">
        <f>Data!G179</f>
        <v>32108</v>
      </c>
      <c r="G179" s="1">
        <f t="shared" si="3"/>
        <v>60</v>
      </c>
      <c r="H179" s="1">
        <f t="shared" si="4"/>
        <v>70</v>
      </c>
      <c r="I179" s="1">
        <f t="shared" ref="I179:J179" si="356">E179 * G179</f>
        <v>1566240</v>
      </c>
      <c r="J179" s="1">
        <f t="shared" si="356"/>
        <v>2247560</v>
      </c>
      <c r="K179" s="1">
        <f t="shared" ref="K179:L179" si="357">IF(E179=0, "", I179 / E179)</f>
        <v>60</v>
      </c>
      <c r="L179" s="1">
        <f t="shared" si="357"/>
        <v>70</v>
      </c>
    </row>
    <row r="180">
      <c r="A180" s="1" t="str">
        <f>Data!B180</f>
        <v>Month6</v>
      </c>
      <c r="B180" s="1" t="str">
        <f>Data!C180</f>
        <v>E</v>
      </c>
      <c r="C180" s="1" t="str">
        <f>Data!D180</f>
        <v>Bengaluru</v>
      </c>
      <c r="D180" s="1" t="str">
        <f>Data!E180</f>
        <v>PowerSip</v>
      </c>
      <c r="E180" s="1" t="str">
        <f>Data!F180</f>
        <v>38733</v>
      </c>
      <c r="F180" s="1" t="str">
        <f>Data!G180</f>
        <v>53839</v>
      </c>
      <c r="G180" s="1">
        <f t="shared" si="3"/>
        <v>135</v>
      </c>
      <c r="H180" s="1">
        <f t="shared" si="4"/>
        <v>140</v>
      </c>
      <c r="I180" s="1">
        <f t="shared" ref="I180:J180" si="358">E180 * G180</f>
        <v>5228955</v>
      </c>
      <c r="J180" s="1">
        <f t="shared" si="358"/>
        <v>7537460</v>
      </c>
      <c r="K180" s="1">
        <f t="shared" ref="K180:L180" si="359">IF(E180=0, "", I180 / E180)</f>
        <v>135</v>
      </c>
      <c r="L180" s="1">
        <f t="shared" si="359"/>
        <v>140</v>
      </c>
    </row>
    <row r="181">
      <c r="A181" s="1" t="str">
        <f>Data!B181</f>
        <v>Month6</v>
      </c>
      <c r="B181" s="1" t="str">
        <f>Data!C181</f>
        <v>E</v>
      </c>
      <c r="C181" s="1" t="str">
        <f>Data!D181</f>
        <v>Bengaluru</v>
      </c>
      <c r="D181" s="1" t="str">
        <f>Data!E181</f>
        <v>HappyGrow</v>
      </c>
      <c r="E181" s="1" t="str">
        <f>Data!F181</f>
        <v>21225</v>
      </c>
      <c r="F181" s="1" t="str">
        <f>Data!G181</f>
        <v>26107</v>
      </c>
      <c r="G181" s="1">
        <f t="shared" si="3"/>
        <v>60</v>
      </c>
      <c r="H181" s="1">
        <f t="shared" si="4"/>
        <v>70</v>
      </c>
      <c r="I181" s="1">
        <f t="shared" ref="I181:J181" si="360">E181 * G181</f>
        <v>1273500</v>
      </c>
      <c r="J181" s="1">
        <f t="shared" si="360"/>
        <v>1827490</v>
      </c>
      <c r="K181" s="1">
        <f t="shared" ref="K181:L181" si="361">IF(E181=0, "", I181 / E181)</f>
        <v>60</v>
      </c>
      <c r="L181" s="1">
        <f t="shared" si="361"/>
        <v>70</v>
      </c>
    </row>
    <row r="182">
      <c r="A182" s="1" t="str">
        <f>Data!B182</f>
        <v>Month6</v>
      </c>
      <c r="B182" s="1" t="str">
        <f>Data!C182</f>
        <v>W</v>
      </c>
      <c r="C182" s="1" t="str">
        <f>Data!D182</f>
        <v>Bengaluru</v>
      </c>
      <c r="D182" s="1" t="str">
        <f>Data!E182</f>
        <v>PowerSip</v>
      </c>
      <c r="E182" s="1" t="str">
        <f>Data!F182</f>
        <v>28722</v>
      </c>
      <c r="F182" s="1" t="str">
        <f>Data!G182</f>
        <v>39924</v>
      </c>
      <c r="G182" s="1">
        <f t="shared" si="3"/>
        <v>135</v>
      </c>
      <c r="H182" s="1">
        <f t="shared" si="4"/>
        <v>140</v>
      </c>
      <c r="I182" s="1">
        <f t="shared" ref="I182:J182" si="362">E182 * G182</f>
        <v>3877470</v>
      </c>
      <c r="J182" s="1">
        <f t="shared" si="362"/>
        <v>5589360</v>
      </c>
      <c r="K182" s="1">
        <f t="shared" ref="K182:L182" si="363">IF(E182=0, "", I182 / E182)</f>
        <v>135</v>
      </c>
      <c r="L182" s="1">
        <f t="shared" si="363"/>
        <v>140</v>
      </c>
    </row>
    <row r="183">
      <c r="A183" s="1" t="str">
        <f>Data!B183</f>
        <v>Month6</v>
      </c>
      <c r="B183" s="1" t="str">
        <f>Data!C183</f>
        <v>W</v>
      </c>
      <c r="C183" s="1" t="str">
        <f>Data!D183</f>
        <v>Bengaluru</v>
      </c>
      <c r="D183" s="1" t="str">
        <f>Data!E183</f>
        <v>HappyGrow</v>
      </c>
      <c r="E183" s="1" t="str">
        <f>Data!F183</f>
        <v>19773</v>
      </c>
      <c r="F183" s="1" t="str">
        <f>Data!G183</f>
        <v>24321</v>
      </c>
      <c r="G183" s="1">
        <f t="shared" si="3"/>
        <v>60</v>
      </c>
      <c r="H183" s="1">
        <f t="shared" si="4"/>
        <v>70</v>
      </c>
      <c r="I183" s="1">
        <f t="shared" ref="I183:J183" si="364">E183 * G183</f>
        <v>1186380</v>
      </c>
      <c r="J183" s="1">
        <f t="shared" si="364"/>
        <v>1702470</v>
      </c>
      <c r="K183" s="1">
        <f t="shared" ref="K183:L183" si="365">IF(E183=0, "", I183 / E183)</f>
        <v>60</v>
      </c>
      <c r="L183" s="1">
        <f t="shared" si="365"/>
        <v>70</v>
      </c>
    </row>
    <row r="184">
      <c r="A184" s="1" t="str">
        <f>Data!B184</f>
        <v>Month6</v>
      </c>
      <c r="B184" s="1" t="str">
        <f>Data!C184</f>
        <v>S</v>
      </c>
      <c r="C184" s="1" t="str">
        <f>Data!D184</f>
        <v>Bengaluru</v>
      </c>
      <c r="D184" s="1" t="str">
        <f>Data!E184</f>
        <v>PowerSip</v>
      </c>
      <c r="E184" s="1" t="str">
        <f>Data!F184</f>
        <v>39687</v>
      </c>
      <c r="F184" s="1" t="str">
        <f>Data!G184</f>
        <v>55165</v>
      </c>
      <c r="G184" s="1">
        <f t="shared" si="3"/>
        <v>135</v>
      </c>
      <c r="H184" s="1">
        <f t="shared" si="4"/>
        <v>140</v>
      </c>
      <c r="I184" s="1">
        <f t="shared" ref="I184:J184" si="366">E184 * G184</f>
        <v>5357745</v>
      </c>
      <c r="J184" s="1">
        <f t="shared" si="366"/>
        <v>7723100</v>
      </c>
      <c r="K184" s="1">
        <f t="shared" ref="K184:L184" si="367">IF(E184=0, "", I184 / E184)</f>
        <v>135</v>
      </c>
      <c r="L184" s="1">
        <f t="shared" si="367"/>
        <v>140</v>
      </c>
    </row>
    <row r="185">
      <c r="A185" s="1" t="str">
        <f>Data!B185</f>
        <v>Month6</v>
      </c>
      <c r="B185" s="1" t="str">
        <f>Data!C185</f>
        <v>S</v>
      </c>
      <c r="C185" s="1" t="str">
        <f>Data!D185</f>
        <v>Bengaluru</v>
      </c>
      <c r="D185" s="1" t="str">
        <f>Data!E185</f>
        <v>HappyGrow</v>
      </c>
      <c r="E185" s="1" t="str">
        <f>Data!F185</f>
        <v>34872</v>
      </c>
      <c r="F185" s="1" t="str">
        <f>Data!G185</f>
        <v>42893</v>
      </c>
      <c r="G185" s="1">
        <f t="shared" si="3"/>
        <v>60</v>
      </c>
      <c r="H185" s="1">
        <f t="shared" si="4"/>
        <v>70</v>
      </c>
      <c r="I185" s="1">
        <f t="shared" ref="I185:J185" si="368">E185 * G185</f>
        <v>2092320</v>
      </c>
      <c r="J185" s="1">
        <f t="shared" si="368"/>
        <v>3002510</v>
      </c>
      <c r="K185" s="1">
        <f t="shared" ref="K185:L185" si="369">IF(E185=0, "", I185 / E185)</f>
        <v>60</v>
      </c>
      <c r="L185" s="1">
        <f t="shared" si="369"/>
        <v>70</v>
      </c>
    </row>
    <row r="186">
      <c r="A186" s="1" t="str">
        <f>Data!B186</f>
        <v>Month6</v>
      </c>
      <c r="B186" s="1" t="str">
        <f>Data!C186</f>
        <v>N</v>
      </c>
      <c r="C186" s="1" t="str">
        <f>Data!D186</f>
        <v>Delhi</v>
      </c>
      <c r="D186" s="1" t="str">
        <f>Data!E186</f>
        <v>PowerSip</v>
      </c>
      <c r="E186" s="1" t="str">
        <f>Data!F186</f>
        <v>31941</v>
      </c>
      <c r="F186" s="1" t="str">
        <f>Data!G186</f>
        <v>44398</v>
      </c>
      <c r="G186" s="1">
        <f t="shared" si="3"/>
        <v>135</v>
      </c>
      <c r="H186" s="1">
        <f t="shared" si="4"/>
        <v>140</v>
      </c>
      <c r="I186" s="1">
        <f t="shared" ref="I186:J186" si="370">E186 * G186</f>
        <v>4312035</v>
      </c>
      <c r="J186" s="1">
        <f t="shared" si="370"/>
        <v>6215720</v>
      </c>
      <c r="K186" s="1">
        <f t="shared" ref="K186:L186" si="371">IF(E186=0, "", I186 / E186)</f>
        <v>135</v>
      </c>
      <c r="L186" s="1">
        <f t="shared" si="371"/>
        <v>140</v>
      </c>
    </row>
    <row r="187">
      <c r="A187" s="1" t="str">
        <f>Data!B187</f>
        <v>Month6</v>
      </c>
      <c r="B187" s="1" t="str">
        <f>Data!C187</f>
        <v>N</v>
      </c>
      <c r="C187" s="1" t="str">
        <f>Data!D187</f>
        <v>Delhi</v>
      </c>
      <c r="D187" s="1" t="str">
        <f>Data!E187</f>
        <v>HappyGrow</v>
      </c>
      <c r="E187" s="1" t="str">
        <f>Data!F187</f>
        <v>17281</v>
      </c>
      <c r="F187" s="1" t="str">
        <f>Data!G187</f>
        <v>21429</v>
      </c>
      <c r="G187" s="1">
        <f t="shared" si="3"/>
        <v>60</v>
      </c>
      <c r="H187" s="1">
        <f t="shared" si="4"/>
        <v>70</v>
      </c>
      <c r="I187" s="1">
        <f t="shared" ref="I187:J187" si="372">E187 * G187</f>
        <v>1036860</v>
      </c>
      <c r="J187" s="1">
        <f t="shared" si="372"/>
        <v>1500030</v>
      </c>
      <c r="K187" s="1">
        <f t="shared" ref="K187:L187" si="373">IF(E187=0, "", I187 / E187)</f>
        <v>60</v>
      </c>
      <c r="L187" s="1">
        <f t="shared" si="373"/>
        <v>70</v>
      </c>
    </row>
    <row r="188">
      <c r="A188" s="1" t="str">
        <f>Data!B188</f>
        <v>Month6</v>
      </c>
      <c r="B188" s="1" t="str">
        <f>Data!C188</f>
        <v>E</v>
      </c>
      <c r="C188" s="1" t="str">
        <f>Data!D188</f>
        <v>Delhi</v>
      </c>
      <c r="D188" s="1" t="str">
        <f>Data!E188</f>
        <v>PowerSip</v>
      </c>
      <c r="E188" s="1" t="str">
        <f>Data!F188</f>
        <v>34740</v>
      </c>
      <c r="F188" s="1" t="str">
        <f>Data!G188</f>
        <v>48636</v>
      </c>
      <c r="G188" s="1">
        <f t="shared" si="3"/>
        <v>135</v>
      </c>
      <c r="H188" s="1">
        <f t="shared" si="4"/>
        <v>140</v>
      </c>
      <c r="I188" s="1">
        <f t="shared" ref="I188:J188" si="374">E188 * G188</f>
        <v>4689900</v>
      </c>
      <c r="J188" s="1">
        <f t="shared" si="374"/>
        <v>6809040</v>
      </c>
      <c r="K188" s="1">
        <f t="shared" ref="K188:L188" si="375">IF(E188=0, "", I188 / E188)</f>
        <v>135</v>
      </c>
      <c r="L188" s="1">
        <f t="shared" si="375"/>
        <v>140</v>
      </c>
    </row>
    <row r="189">
      <c r="A189" s="1" t="str">
        <f>Data!B189</f>
        <v>Month6</v>
      </c>
      <c r="B189" s="1" t="str">
        <f>Data!C189</f>
        <v>E</v>
      </c>
      <c r="C189" s="1" t="str">
        <f>Data!D189</f>
        <v>Delhi</v>
      </c>
      <c r="D189" s="1" t="str">
        <f>Data!E189</f>
        <v>HappyGrow</v>
      </c>
      <c r="E189" s="1" t="str">
        <f>Data!F189</f>
        <v>18682</v>
      </c>
      <c r="F189" s="1" t="str">
        <f>Data!G189</f>
        <v>23353</v>
      </c>
      <c r="G189" s="1">
        <f t="shared" si="3"/>
        <v>60</v>
      </c>
      <c r="H189" s="1">
        <f t="shared" si="4"/>
        <v>70</v>
      </c>
      <c r="I189" s="1">
        <f t="shared" ref="I189:J189" si="376">E189 * G189</f>
        <v>1120920</v>
      </c>
      <c r="J189" s="1">
        <f t="shared" si="376"/>
        <v>1634710</v>
      </c>
      <c r="K189" s="1">
        <f t="shared" ref="K189:L189" si="377">IF(E189=0, "", I189 / E189)</f>
        <v>60</v>
      </c>
      <c r="L189" s="1">
        <f t="shared" si="377"/>
        <v>70</v>
      </c>
    </row>
    <row r="190">
      <c r="A190" s="1" t="str">
        <f>Data!B190</f>
        <v>Month6</v>
      </c>
      <c r="B190" s="1" t="str">
        <f>Data!C190</f>
        <v>W</v>
      </c>
      <c r="C190" s="1" t="str">
        <f>Data!D190</f>
        <v>Delhi</v>
      </c>
      <c r="D190" s="1" t="str">
        <f>Data!E190</f>
        <v>PowerSip</v>
      </c>
      <c r="E190" s="1" t="str">
        <f>Data!F190</f>
        <v>32357</v>
      </c>
      <c r="F190" s="1" t="str">
        <f>Data!G190</f>
        <v>45300</v>
      </c>
      <c r="G190" s="1">
        <f t="shared" si="3"/>
        <v>135</v>
      </c>
      <c r="H190" s="1">
        <f t="shared" si="4"/>
        <v>140</v>
      </c>
      <c r="I190" s="1">
        <f t="shared" ref="I190:J190" si="378">E190 * G190</f>
        <v>4368195</v>
      </c>
      <c r="J190" s="1">
        <f t="shared" si="378"/>
        <v>6342000</v>
      </c>
      <c r="K190" s="1">
        <f t="shared" ref="K190:L190" si="379">IF(E190=0, "", I190 / E190)</f>
        <v>135</v>
      </c>
      <c r="L190" s="1">
        <f t="shared" si="379"/>
        <v>140</v>
      </c>
    </row>
    <row r="191">
      <c r="A191" s="1" t="str">
        <f>Data!B191</f>
        <v>Month6</v>
      </c>
      <c r="B191" s="1" t="str">
        <f>Data!C191</f>
        <v>W</v>
      </c>
      <c r="C191" s="1" t="str">
        <f>Data!D191</f>
        <v>Delhi</v>
      </c>
      <c r="D191" s="1" t="str">
        <f>Data!E191</f>
        <v>HappyGrow</v>
      </c>
      <c r="E191" s="1" t="str">
        <f>Data!F191</f>
        <v>21381</v>
      </c>
      <c r="F191" s="1" t="str">
        <f>Data!G191</f>
        <v>26727</v>
      </c>
      <c r="G191" s="1">
        <f t="shared" si="3"/>
        <v>60</v>
      </c>
      <c r="H191" s="1">
        <f t="shared" si="4"/>
        <v>70</v>
      </c>
      <c r="I191" s="1">
        <f t="shared" ref="I191:J191" si="380">E191 * G191</f>
        <v>1282860</v>
      </c>
      <c r="J191" s="1">
        <f t="shared" si="380"/>
        <v>1870890</v>
      </c>
      <c r="K191" s="1">
        <f t="shared" ref="K191:L191" si="381">IF(E191=0, "", I191 / E191)</f>
        <v>60</v>
      </c>
      <c r="L191" s="1">
        <f t="shared" si="381"/>
        <v>70</v>
      </c>
    </row>
    <row r="192">
      <c r="A192" s="1" t="str">
        <f>Data!B192</f>
        <v>Month6</v>
      </c>
      <c r="B192" s="1" t="str">
        <f>Data!C192</f>
        <v>S</v>
      </c>
      <c r="C192" s="1" t="str">
        <f>Data!D192</f>
        <v>Delhi</v>
      </c>
      <c r="D192" s="1" t="str">
        <f>Data!E192</f>
        <v>PowerSip</v>
      </c>
      <c r="E192" s="1" t="str">
        <f>Data!F192</f>
        <v>27888</v>
      </c>
      <c r="F192" s="1" t="str">
        <f>Data!G192</f>
        <v>39044</v>
      </c>
      <c r="G192" s="1">
        <f t="shared" si="3"/>
        <v>135</v>
      </c>
      <c r="H192" s="1">
        <f t="shared" si="4"/>
        <v>140</v>
      </c>
      <c r="I192" s="1">
        <f t="shared" ref="I192:J192" si="382">E192 * G192</f>
        <v>3764880</v>
      </c>
      <c r="J192" s="1">
        <f t="shared" si="382"/>
        <v>5466160</v>
      </c>
      <c r="K192" s="1">
        <f t="shared" ref="K192:L192" si="383">IF(E192=0, "", I192 / E192)</f>
        <v>135</v>
      </c>
      <c r="L192" s="1">
        <f t="shared" si="383"/>
        <v>140</v>
      </c>
    </row>
    <row r="193">
      <c r="A193" s="1" t="str">
        <f>Data!B193</f>
        <v>Month6</v>
      </c>
      <c r="B193" s="1" t="str">
        <f>Data!C193</f>
        <v>S</v>
      </c>
      <c r="C193" s="1" t="str">
        <f>Data!D193</f>
        <v>Delhi</v>
      </c>
      <c r="D193" s="1" t="str">
        <f>Data!E193</f>
        <v>HappyGrow</v>
      </c>
      <c r="E193" s="1" t="str">
        <f>Data!F193</f>
        <v>32072</v>
      </c>
      <c r="F193" s="1" t="str">
        <f>Data!G193</f>
        <v>40090</v>
      </c>
      <c r="G193" s="1">
        <f t="shared" si="3"/>
        <v>60</v>
      </c>
      <c r="H193" s="1">
        <f t="shared" si="4"/>
        <v>70</v>
      </c>
      <c r="I193" s="1">
        <f t="shared" ref="I193:J193" si="384">E193 * G193</f>
        <v>1924320</v>
      </c>
      <c r="J193" s="1">
        <f t="shared" si="384"/>
        <v>2806300</v>
      </c>
      <c r="K193" s="1">
        <f t="shared" ref="K193:L193" si="385">IF(E193=0, "", I193 / E193)</f>
        <v>60</v>
      </c>
      <c r="L193" s="1">
        <f t="shared" si="385"/>
        <v>70</v>
      </c>
    </row>
    <row r="194">
      <c r="A194" s="1" t="str">
        <f>Data!B194</f>
        <v/>
      </c>
      <c r="B194" s="1" t="str">
        <f>Data!C194</f>
        <v/>
      </c>
      <c r="C194" s="1" t="str">
        <f>Data!D194</f>
        <v/>
      </c>
      <c r="D194" s="1" t="str">
        <f>Data!E194</f>
        <v/>
      </c>
      <c r="E194" s="1" t="str">
        <f>Data!F194</f>
        <v/>
      </c>
      <c r="F194" s="1" t="str">
        <f>Data!G194</f>
        <v/>
      </c>
      <c r="G194" s="1" t="str">
        <f t="shared" si="3"/>
        <v/>
      </c>
      <c r="H194" s="1" t="str">
        <f t="shared" si="4"/>
        <v/>
      </c>
    </row>
    <row r="195">
      <c r="A195" s="1" t="str">
        <f>Data!B195</f>
        <v/>
      </c>
      <c r="B195" s="1" t="str">
        <f>Data!C195</f>
        <v/>
      </c>
      <c r="C195" s="1" t="str">
        <f>Data!D195</f>
        <v/>
      </c>
      <c r="D195" s="1" t="str">
        <f>Data!E195</f>
        <v/>
      </c>
      <c r="E195" s="1" t="str">
        <f>Data!F195</f>
        <v/>
      </c>
      <c r="F195" s="1" t="str">
        <f>Data!G195</f>
        <v/>
      </c>
      <c r="G195" s="1" t="str">
        <f t="shared" si="3"/>
        <v/>
      </c>
      <c r="H195" s="1" t="str">
        <f t="shared" si="4"/>
        <v/>
      </c>
    </row>
    <row r="196">
      <c r="A196" s="1" t="str">
        <f>Data!B196</f>
        <v/>
      </c>
      <c r="B196" s="1" t="str">
        <f>Data!C196</f>
        <v/>
      </c>
      <c r="C196" s="1" t="str">
        <f>Data!D196</f>
        <v/>
      </c>
      <c r="D196" s="1" t="str">
        <f>Data!E196</f>
        <v/>
      </c>
      <c r="E196" s="1" t="str">
        <f>Data!F196</f>
        <v/>
      </c>
      <c r="F196" s="1" t="str">
        <f>Data!G196</f>
        <v/>
      </c>
      <c r="G196" s="1" t="str">
        <f t="shared" si="3"/>
        <v/>
      </c>
      <c r="H196" s="1" t="str">
        <f t="shared" si="4"/>
        <v/>
      </c>
    </row>
    <row r="197">
      <c r="A197" s="1" t="str">
        <f>Data!B197</f>
        <v/>
      </c>
      <c r="B197" s="1" t="str">
        <f>Data!C197</f>
        <v/>
      </c>
      <c r="C197" s="1" t="str">
        <f>Data!D197</f>
        <v/>
      </c>
      <c r="D197" s="1" t="str">
        <f>Data!E197</f>
        <v/>
      </c>
      <c r="E197" s="1" t="str">
        <f>Data!F197</f>
        <v/>
      </c>
      <c r="F197" s="1" t="str">
        <f>Data!G197</f>
        <v/>
      </c>
      <c r="G197" s="1" t="str">
        <f t="shared" si="3"/>
        <v/>
      </c>
      <c r="H197" s="1" t="str">
        <f t="shared" si="4"/>
        <v/>
      </c>
    </row>
    <row r="198">
      <c r="A198" s="1" t="str">
        <f>Data!B198</f>
        <v/>
      </c>
      <c r="B198" s="1" t="str">
        <f>Data!C198</f>
        <v/>
      </c>
      <c r="C198" s="1" t="str">
        <f>Data!D198</f>
        <v/>
      </c>
      <c r="D198" s="1" t="str">
        <f>Data!E198</f>
        <v/>
      </c>
      <c r="E198" s="1" t="str">
        <f>Data!F198</f>
        <v/>
      </c>
      <c r="F198" s="1" t="str">
        <f>Data!G198</f>
        <v/>
      </c>
      <c r="G198" s="1" t="str">
        <f t="shared" si="3"/>
        <v/>
      </c>
      <c r="H198" s="1" t="str">
        <f t="shared" si="4"/>
        <v/>
      </c>
    </row>
    <row r="199">
      <c r="A199" s="1" t="str">
        <f>Data!B199</f>
        <v/>
      </c>
      <c r="B199" s="1" t="str">
        <f>Data!C199</f>
        <v/>
      </c>
      <c r="C199" s="1" t="str">
        <f>Data!D199</f>
        <v/>
      </c>
      <c r="D199" s="1" t="str">
        <f>Data!E199</f>
        <v/>
      </c>
      <c r="E199" s="1" t="str">
        <f>Data!F199</f>
        <v/>
      </c>
      <c r="F199" s="1" t="str">
        <f>Data!G199</f>
        <v/>
      </c>
      <c r="G199" s="1" t="str">
        <f t="shared" si="3"/>
        <v/>
      </c>
      <c r="H199" s="1" t="str">
        <f t="shared" si="4"/>
        <v/>
      </c>
    </row>
    <row r="200">
      <c r="A200" s="1" t="str">
        <f>Data!B200</f>
        <v/>
      </c>
      <c r="B200" s="1" t="str">
        <f>Data!C200</f>
        <v/>
      </c>
      <c r="C200" s="1" t="str">
        <f>Data!D200</f>
        <v/>
      </c>
      <c r="D200" s="1" t="str">
        <f>Data!E200</f>
        <v/>
      </c>
      <c r="E200" s="1" t="str">
        <f>Data!F200</f>
        <v/>
      </c>
      <c r="F200" s="1" t="str">
        <f>Data!G200</f>
        <v/>
      </c>
      <c r="G200" s="1" t="str">
        <f t="shared" si="3"/>
        <v/>
      </c>
      <c r="H200" s="1" t="str">
        <f t="shared" si="4"/>
        <v/>
      </c>
    </row>
    <row r="201">
      <c r="A201" s="1" t="str">
        <f>Data!B201</f>
        <v/>
      </c>
      <c r="B201" s="1" t="str">
        <f>Data!C201</f>
        <v/>
      </c>
      <c r="C201" s="1" t="str">
        <f>Data!D201</f>
        <v/>
      </c>
      <c r="D201" s="1" t="str">
        <f>Data!E201</f>
        <v/>
      </c>
      <c r="E201" s="1" t="str">
        <f>Data!F201</f>
        <v/>
      </c>
      <c r="F201" s="1" t="str">
        <f>Data!G201</f>
        <v/>
      </c>
      <c r="G201" s="1" t="str">
        <f t="shared" si="3"/>
        <v/>
      </c>
      <c r="H201" s="1" t="str">
        <f t="shared" si="4"/>
        <v/>
      </c>
    </row>
    <row r="202">
      <c r="A202" s="1" t="str">
        <f>Data!B202</f>
        <v/>
      </c>
      <c r="B202" s="1" t="str">
        <f>Data!C202</f>
        <v/>
      </c>
      <c r="C202" s="1" t="str">
        <f>Data!D202</f>
        <v/>
      </c>
      <c r="D202" s="1" t="str">
        <f>Data!E202</f>
        <v/>
      </c>
      <c r="E202" s="1" t="str">
        <f>Data!F202</f>
        <v/>
      </c>
      <c r="F202" s="1" t="str">
        <f>Data!G202</f>
        <v/>
      </c>
      <c r="G202" s="1" t="str">
        <f t="shared" si="3"/>
        <v/>
      </c>
      <c r="H202" s="1" t="str">
        <f t="shared" si="4"/>
        <v/>
      </c>
    </row>
    <row r="203">
      <c r="A203" s="1" t="str">
        <f>Data!B203</f>
        <v/>
      </c>
      <c r="B203" s="1" t="str">
        <f>Data!C203</f>
        <v/>
      </c>
      <c r="C203" s="1" t="str">
        <f>Data!D203</f>
        <v/>
      </c>
      <c r="D203" s="1" t="str">
        <f>Data!E203</f>
        <v/>
      </c>
      <c r="E203" s="1" t="str">
        <f>Data!F203</f>
        <v/>
      </c>
      <c r="F203" s="1" t="str">
        <f>Data!G203</f>
        <v/>
      </c>
      <c r="G203" s="1" t="str">
        <f t="shared" si="3"/>
        <v/>
      </c>
      <c r="H203" s="1" t="str">
        <f t="shared" si="4"/>
        <v/>
      </c>
    </row>
    <row r="204">
      <c r="A204" s="1" t="str">
        <f>Data!B204</f>
        <v/>
      </c>
      <c r="B204" s="1" t="str">
        <f>Data!C204</f>
        <v/>
      </c>
      <c r="C204" s="1" t="str">
        <f>Data!D204</f>
        <v/>
      </c>
      <c r="D204" s="1" t="str">
        <f>Data!E204</f>
        <v/>
      </c>
      <c r="E204" s="1" t="str">
        <f>Data!F204</f>
        <v/>
      </c>
      <c r="F204" s="1" t="str">
        <f>Data!G204</f>
        <v/>
      </c>
      <c r="G204" s="1" t="str">
        <f t="shared" si="3"/>
        <v/>
      </c>
      <c r="H204" s="1" t="str">
        <f t="shared" si="4"/>
        <v/>
      </c>
    </row>
    <row r="205">
      <c r="A205" s="1" t="str">
        <f>Data!B205</f>
        <v/>
      </c>
      <c r="B205" s="1" t="str">
        <f>Data!C205</f>
        <v/>
      </c>
      <c r="C205" s="1" t="str">
        <f>Data!D205</f>
        <v/>
      </c>
      <c r="D205" s="1" t="str">
        <f>Data!E205</f>
        <v/>
      </c>
      <c r="E205" s="1" t="str">
        <f>Data!F205</f>
        <v/>
      </c>
      <c r="F205" s="1" t="str">
        <f>Data!G205</f>
        <v/>
      </c>
      <c r="G205" s="1" t="str">
        <f t="shared" si="3"/>
        <v/>
      </c>
      <c r="H205" s="1" t="str">
        <f t="shared" si="4"/>
        <v/>
      </c>
    </row>
    <row r="206">
      <c r="A206" s="1" t="str">
        <f>Data!B206</f>
        <v/>
      </c>
      <c r="B206" s="1" t="str">
        <f>Data!C206</f>
        <v/>
      </c>
      <c r="C206" s="1" t="str">
        <f>Data!D206</f>
        <v/>
      </c>
      <c r="D206" s="1" t="str">
        <f>Data!E206</f>
        <v/>
      </c>
      <c r="E206" s="1" t="str">
        <f>Data!F206</f>
        <v/>
      </c>
      <c r="F206" s="1" t="str">
        <f>Data!G206</f>
        <v/>
      </c>
      <c r="G206" s="1" t="str">
        <f t="shared" si="3"/>
        <v/>
      </c>
      <c r="H206" s="1" t="str">
        <f t="shared" si="4"/>
        <v/>
      </c>
    </row>
    <row r="207">
      <c r="A207" s="1" t="str">
        <f>Data!B207</f>
        <v/>
      </c>
      <c r="B207" s="1" t="str">
        <f>Data!C207</f>
        <v/>
      </c>
      <c r="C207" s="1" t="str">
        <f>Data!D207</f>
        <v/>
      </c>
      <c r="D207" s="1" t="str">
        <f>Data!E207</f>
        <v/>
      </c>
      <c r="E207" s="1" t="str">
        <f>Data!F207</f>
        <v/>
      </c>
      <c r="F207" s="1" t="str">
        <f>Data!G207</f>
        <v/>
      </c>
      <c r="G207" s="1" t="str">
        <f t="shared" si="3"/>
        <v/>
      </c>
      <c r="H207" s="1" t="str">
        <f t="shared" si="4"/>
        <v/>
      </c>
    </row>
    <row r="208">
      <c r="A208" s="1" t="str">
        <f>Data!B208</f>
        <v/>
      </c>
      <c r="B208" s="1" t="str">
        <f>Data!C208</f>
        <v/>
      </c>
      <c r="C208" s="1" t="str">
        <f>Data!D208</f>
        <v/>
      </c>
      <c r="D208" s="1" t="str">
        <f>Data!E208</f>
        <v/>
      </c>
      <c r="E208" s="1" t="str">
        <f>Data!F208</f>
        <v/>
      </c>
      <c r="F208" s="1" t="str">
        <f>Data!G208</f>
        <v/>
      </c>
      <c r="G208" s="1" t="str">
        <f t="shared" si="3"/>
        <v/>
      </c>
      <c r="H208" s="1" t="str">
        <f t="shared" si="4"/>
        <v/>
      </c>
    </row>
    <row r="209">
      <c r="A209" s="1" t="str">
        <f>Data!B209</f>
        <v/>
      </c>
      <c r="B209" s="1" t="str">
        <f>Data!C209</f>
        <v/>
      </c>
      <c r="C209" s="1" t="str">
        <f>Data!D209</f>
        <v/>
      </c>
      <c r="D209" s="1" t="str">
        <f>Data!E209</f>
        <v/>
      </c>
      <c r="E209" s="1" t="str">
        <f>Data!F209</f>
        <v/>
      </c>
      <c r="F209" s="1" t="str">
        <f>Data!G209</f>
        <v/>
      </c>
      <c r="G209" s="1" t="str">
        <f t="shared" si="3"/>
        <v/>
      </c>
      <c r="H209" s="1" t="str">
        <f t="shared" si="4"/>
        <v/>
      </c>
    </row>
    <row r="210">
      <c r="A210" s="1" t="str">
        <f>Data!B210</f>
        <v/>
      </c>
      <c r="B210" s="1" t="str">
        <f>Data!C210</f>
        <v/>
      </c>
      <c r="C210" s="1" t="str">
        <f>Data!D210</f>
        <v/>
      </c>
      <c r="D210" s="1" t="str">
        <f>Data!E210</f>
        <v/>
      </c>
      <c r="E210" s="1" t="str">
        <f>Data!F210</f>
        <v/>
      </c>
      <c r="F210" s="1" t="str">
        <f>Data!G210</f>
        <v/>
      </c>
      <c r="G210" s="1" t="str">
        <f t="shared" si="3"/>
        <v/>
      </c>
      <c r="H210" s="1" t="str">
        <f t="shared" si="4"/>
        <v/>
      </c>
    </row>
    <row r="211">
      <c r="A211" s="1" t="str">
        <f>Data!B211</f>
        <v/>
      </c>
      <c r="B211" s="1" t="str">
        <f>Data!C211</f>
        <v/>
      </c>
      <c r="C211" s="1" t="str">
        <f>Data!D211</f>
        <v/>
      </c>
      <c r="D211" s="1" t="str">
        <f>Data!E211</f>
        <v/>
      </c>
      <c r="E211" s="1" t="str">
        <f>Data!F211</f>
        <v/>
      </c>
      <c r="F211" s="1" t="str">
        <f>Data!G211</f>
        <v/>
      </c>
      <c r="G211" s="1" t="str">
        <f t="shared" si="3"/>
        <v/>
      </c>
      <c r="H211" s="1" t="str">
        <f t="shared" si="4"/>
        <v/>
      </c>
    </row>
    <row r="212">
      <c r="A212" s="1" t="str">
        <f>Data!B212</f>
        <v/>
      </c>
      <c r="B212" s="1" t="str">
        <f>Data!C212</f>
        <v/>
      </c>
      <c r="C212" s="1" t="str">
        <f>Data!D212</f>
        <v/>
      </c>
      <c r="D212" s="1" t="str">
        <f>Data!E212</f>
        <v/>
      </c>
      <c r="E212" s="1" t="str">
        <f>Data!F212</f>
        <v/>
      </c>
      <c r="F212" s="1" t="str">
        <f>Data!G212</f>
        <v/>
      </c>
      <c r="G212" s="1" t="str">
        <f t="shared" si="3"/>
        <v/>
      </c>
      <c r="H212" s="1" t="str">
        <f t="shared" si="4"/>
        <v/>
      </c>
    </row>
    <row r="213">
      <c r="A213" s="1" t="str">
        <f>Data!B213</f>
        <v/>
      </c>
      <c r="B213" s="1" t="str">
        <f>Data!C213</f>
        <v/>
      </c>
      <c r="C213" s="1" t="str">
        <f>Data!D213</f>
        <v/>
      </c>
      <c r="D213" s="1" t="str">
        <f>Data!E213</f>
        <v/>
      </c>
      <c r="E213" s="1" t="str">
        <f>Data!F213</f>
        <v/>
      </c>
      <c r="F213" s="1" t="str">
        <f>Data!G213</f>
        <v/>
      </c>
      <c r="G213" s="1" t="str">
        <f t="shared" si="3"/>
        <v/>
      </c>
      <c r="H213" s="1" t="str">
        <f t="shared" si="4"/>
        <v/>
      </c>
    </row>
    <row r="214">
      <c r="A214" s="1" t="str">
        <f>Data!B214</f>
        <v/>
      </c>
      <c r="B214" s="1" t="str">
        <f>Data!C214</f>
        <v/>
      </c>
      <c r="C214" s="1" t="str">
        <f>Data!D214</f>
        <v/>
      </c>
      <c r="D214" s="1" t="str">
        <f>Data!E214</f>
        <v/>
      </c>
      <c r="E214" s="1" t="str">
        <f>Data!F214</f>
        <v/>
      </c>
      <c r="F214" s="1" t="str">
        <f>Data!G214</f>
        <v/>
      </c>
      <c r="G214" s="1" t="str">
        <f t="shared" si="3"/>
        <v/>
      </c>
      <c r="H214" s="1" t="str">
        <f t="shared" si="4"/>
        <v/>
      </c>
    </row>
    <row r="215">
      <c r="A215" s="1" t="str">
        <f>Data!B215</f>
        <v/>
      </c>
      <c r="B215" s="1" t="str">
        <f>Data!C215</f>
        <v/>
      </c>
      <c r="C215" s="1" t="str">
        <f>Data!D215</f>
        <v/>
      </c>
      <c r="D215" s="1" t="str">
        <f>Data!E215</f>
        <v/>
      </c>
      <c r="E215" s="1" t="str">
        <f>Data!F215</f>
        <v/>
      </c>
      <c r="F215" s="1" t="str">
        <f>Data!G215</f>
        <v/>
      </c>
      <c r="G215" s="1" t="str">
        <f t="shared" si="3"/>
        <v/>
      </c>
      <c r="H215" s="1" t="str">
        <f t="shared" si="4"/>
        <v/>
      </c>
    </row>
    <row r="216">
      <c r="A216" s="1" t="str">
        <f>Data!B216</f>
        <v/>
      </c>
      <c r="B216" s="1" t="str">
        <f>Data!C216</f>
        <v/>
      </c>
      <c r="C216" s="1" t="str">
        <f>Data!D216</f>
        <v/>
      </c>
      <c r="D216" s="1" t="str">
        <f>Data!E216</f>
        <v/>
      </c>
      <c r="E216" s="1" t="str">
        <f>Data!F216</f>
        <v/>
      </c>
      <c r="F216" s="1" t="str">
        <f>Data!G216</f>
        <v/>
      </c>
      <c r="G216" s="1" t="str">
        <f t="shared" si="3"/>
        <v/>
      </c>
      <c r="H216" s="1" t="str">
        <f t="shared" si="4"/>
        <v/>
      </c>
    </row>
    <row r="217">
      <c r="A217" s="1" t="str">
        <f>Data!B217</f>
        <v/>
      </c>
      <c r="B217" s="1" t="str">
        <f>Data!C217</f>
        <v/>
      </c>
      <c r="C217" s="1" t="str">
        <f>Data!D217</f>
        <v/>
      </c>
      <c r="D217" s="1" t="str">
        <f>Data!E217</f>
        <v/>
      </c>
      <c r="E217" s="1" t="str">
        <f>Data!F217</f>
        <v/>
      </c>
      <c r="F217" s="1" t="str">
        <f>Data!G217</f>
        <v/>
      </c>
      <c r="G217" s="1" t="str">
        <f t="shared" si="3"/>
        <v/>
      </c>
      <c r="H217" s="1" t="str">
        <f t="shared" si="4"/>
        <v/>
      </c>
    </row>
    <row r="218">
      <c r="A218" s="1" t="str">
        <f>Data!B218</f>
        <v/>
      </c>
      <c r="B218" s="1" t="str">
        <f>Data!C218</f>
        <v/>
      </c>
      <c r="C218" s="1" t="str">
        <f>Data!D218</f>
        <v/>
      </c>
      <c r="D218" s="1" t="str">
        <f>Data!E218</f>
        <v/>
      </c>
      <c r="E218" s="1" t="str">
        <f>Data!F218</f>
        <v/>
      </c>
      <c r="F218" s="1" t="str">
        <f>Data!G218</f>
        <v/>
      </c>
      <c r="G218" s="1" t="str">
        <f t="shared" si="3"/>
        <v/>
      </c>
      <c r="H218" s="1" t="str">
        <f t="shared" si="4"/>
        <v/>
      </c>
    </row>
    <row r="219">
      <c r="A219" s="1" t="str">
        <f>Data!B219</f>
        <v/>
      </c>
      <c r="B219" s="1" t="str">
        <f>Data!C219</f>
        <v/>
      </c>
      <c r="C219" s="1" t="str">
        <f>Data!D219</f>
        <v/>
      </c>
      <c r="D219" s="1" t="str">
        <f>Data!E219</f>
        <v/>
      </c>
      <c r="E219" s="1" t="str">
        <f>Data!F219</f>
        <v/>
      </c>
      <c r="F219" s="1" t="str">
        <f>Data!G219</f>
        <v/>
      </c>
      <c r="G219" s="1" t="str">
        <f t="shared" si="3"/>
        <v/>
      </c>
      <c r="H219" s="1" t="str">
        <f t="shared" si="4"/>
        <v/>
      </c>
    </row>
    <row r="220">
      <c r="A220" s="1" t="str">
        <f>Data!B220</f>
        <v/>
      </c>
      <c r="B220" s="1" t="str">
        <f>Data!C220</f>
        <v/>
      </c>
      <c r="C220" s="1" t="str">
        <f>Data!D220</f>
        <v/>
      </c>
      <c r="D220" s="1" t="str">
        <f>Data!E220</f>
        <v/>
      </c>
      <c r="E220" s="1" t="str">
        <f>Data!F220</f>
        <v/>
      </c>
      <c r="F220" s="1" t="str">
        <f>Data!G220</f>
        <v/>
      </c>
      <c r="G220" s="1" t="str">
        <f t="shared" si="3"/>
        <v/>
      </c>
      <c r="H220" s="1" t="str">
        <f t="shared" si="4"/>
        <v/>
      </c>
    </row>
    <row r="221">
      <c r="A221" s="1" t="str">
        <f>Data!B221</f>
        <v/>
      </c>
      <c r="B221" s="1" t="str">
        <f>Data!C221</f>
        <v/>
      </c>
      <c r="C221" s="1" t="str">
        <f>Data!D221</f>
        <v/>
      </c>
      <c r="D221" s="1" t="str">
        <f>Data!E221</f>
        <v/>
      </c>
      <c r="E221" s="1" t="str">
        <f>Data!F221</f>
        <v/>
      </c>
      <c r="F221" s="1" t="str">
        <f>Data!G221</f>
        <v/>
      </c>
      <c r="G221" s="1" t="str">
        <f t="shared" si="3"/>
        <v/>
      </c>
      <c r="H221" s="1" t="str">
        <f t="shared" si="4"/>
        <v/>
      </c>
    </row>
    <row r="222">
      <c r="A222" s="1" t="str">
        <f>Data!B222</f>
        <v/>
      </c>
      <c r="B222" s="1" t="str">
        <f>Data!C222</f>
        <v/>
      </c>
      <c r="C222" s="1" t="str">
        <f>Data!D222</f>
        <v/>
      </c>
      <c r="D222" s="1" t="str">
        <f>Data!E222</f>
        <v/>
      </c>
      <c r="E222" s="1" t="str">
        <f>Data!F222</f>
        <v/>
      </c>
      <c r="F222" s="1" t="str">
        <f>Data!G222</f>
        <v/>
      </c>
      <c r="G222" s="1" t="str">
        <f t="shared" si="3"/>
        <v/>
      </c>
      <c r="H222" s="1" t="str">
        <f t="shared" si="4"/>
        <v/>
      </c>
    </row>
    <row r="223">
      <c r="A223" s="1" t="str">
        <f>Data!B223</f>
        <v/>
      </c>
      <c r="B223" s="1" t="str">
        <f>Data!C223</f>
        <v/>
      </c>
      <c r="C223" s="1" t="str">
        <f>Data!D223</f>
        <v/>
      </c>
      <c r="D223" s="1" t="str">
        <f>Data!E223</f>
        <v/>
      </c>
      <c r="E223" s="1" t="str">
        <f>Data!F223</f>
        <v/>
      </c>
      <c r="F223" s="1" t="str">
        <f>Data!G223</f>
        <v/>
      </c>
      <c r="G223" s="1" t="str">
        <f t="shared" si="3"/>
        <v/>
      </c>
      <c r="H223" s="1" t="str">
        <f t="shared" si="4"/>
        <v/>
      </c>
    </row>
    <row r="224">
      <c r="A224" s="1" t="str">
        <f>Data!B224</f>
        <v/>
      </c>
      <c r="B224" s="1" t="str">
        <f>Data!C224</f>
        <v/>
      </c>
      <c r="C224" s="1" t="str">
        <f>Data!D224</f>
        <v/>
      </c>
      <c r="D224" s="1" t="str">
        <f>Data!E224</f>
        <v/>
      </c>
      <c r="E224" s="1" t="str">
        <f>Data!F224</f>
        <v/>
      </c>
      <c r="F224" s="1" t="str">
        <f>Data!G224</f>
        <v/>
      </c>
      <c r="G224" s="1" t="str">
        <f t="shared" si="3"/>
        <v/>
      </c>
      <c r="H224" s="1" t="str">
        <f t="shared" si="4"/>
        <v/>
      </c>
    </row>
    <row r="225">
      <c r="A225" s="1" t="str">
        <f>Data!B225</f>
        <v/>
      </c>
      <c r="B225" s="1" t="str">
        <f>Data!C225</f>
        <v/>
      </c>
      <c r="C225" s="1" t="str">
        <f>Data!D225</f>
        <v/>
      </c>
      <c r="D225" s="1" t="str">
        <f>Data!E225</f>
        <v/>
      </c>
      <c r="E225" s="1" t="str">
        <f>Data!F225</f>
        <v/>
      </c>
      <c r="F225" s="1" t="str">
        <f>Data!G225</f>
        <v/>
      </c>
      <c r="G225" s="1" t="str">
        <f t="shared" si="3"/>
        <v/>
      </c>
      <c r="H225" s="1" t="str">
        <f t="shared" si="4"/>
        <v/>
      </c>
    </row>
    <row r="226">
      <c r="A226" s="1" t="str">
        <f>Data!B226</f>
        <v/>
      </c>
      <c r="B226" s="1" t="str">
        <f>Data!C226</f>
        <v/>
      </c>
      <c r="C226" s="1" t="str">
        <f>Data!D226</f>
        <v/>
      </c>
      <c r="D226" s="1" t="str">
        <f>Data!E226</f>
        <v/>
      </c>
      <c r="E226" s="1" t="str">
        <f>Data!F226</f>
        <v/>
      </c>
      <c r="F226" s="1" t="str">
        <f>Data!G226</f>
        <v/>
      </c>
      <c r="G226" s="1" t="str">
        <f t="shared" si="3"/>
        <v/>
      </c>
      <c r="H226" s="1" t="str">
        <f t="shared" si="4"/>
        <v/>
      </c>
    </row>
    <row r="227">
      <c r="A227" s="1" t="str">
        <f>Data!B227</f>
        <v/>
      </c>
      <c r="B227" s="1" t="str">
        <f>Data!C227</f>
        <v/>
      </c>
      <c r="C227" s="1" t="str">
        <f>Data!D227</f>
        <v/>
      </c>
      <c r="D227" s="1" t="str">
        <f>Data!E227</f>
        <v/>
      </c>
      <c r="E227" s="1" t="str">
        <f>Data!F227</f>
        <v/>
      </c>
      <c r="F227" s="1" t="str">
        <f>Data!G227</f>
        <v/>
      </c>
      <c r="G227" s="1" t="str">
        <f t="shared" si="3"/>
        <v/>
      </c>
      <c r="H227" s="1" t="str">
        <f t="shared" si="4"/>
        <v/>
      </c>
    </row>
    <row r="228">
      <c r="A228" s="1" t="str">
        <f>Data!B228</f>
        <v/>
      </c>
      <c r="B228" s="1" t="str">
        <f>Data!C228</f>
        <v/>
      </c>
      <c r="C228" s="1" t="str">
        <f>Data!D228</f>
        <v/>
      </c>
      <c r="D228" s="1" t="str">
        <f>Data!E228</f>
        <v/>
      </c>
      <c r="E228" s="1" t="str">
        <f>Data!F228</f>
        <v/>
      </c>
      <c r="F228" s="1" t="str">
        <f>Data!G228</f>
        <v/>
      </c>
      <c r="G228" s="1" t="str">
        <f t="shared" si="3"/>
        <v/>
      </c>
      <c r="H228" s="1" t="str">
        <f t="shared" si="4"/>
        <v/>
      </c>
    </row>
    <row r="229">
      <c r="A229" s="1" t="str">
        <f>Data!B229</f>
        <v/>
      </c>
      <c r="B229" s="1" t="str">
        <f>Data!C229</f>
        <v/>
      </c>
      <c r="C229" s="1" t="str">
        <f>Data!D229</f>
        <v/>
      </c>
      <c r="D229" s="1" t="str">
        <f>Data!E229</f>
        <v/>
      </c>
      <c r="E229" s="1" t="str">
        <f>Data!F229</f>
        <v/>
      </c>
      <c r="F229" s="1" t="str">
        <f>Data!G229</f>
        <v/>
      </c>
      <c r="G229" s="1" t="str">
        <f t="shared" si="3"/>
        <v/>
      </c>
      <c r="H229" s="1" t="str">
        <f t="shared" si="4"/>
        <v/>
      </c>
    </row>
    <row r="230">
      <c r="A230" s="1" t="str">
        <f>Data!B230</f>
        <v/>
      </c>
      <c r="B230" s="1" t="str">
        <f>Data!C230</f>
        <v/>
      </c>
      <c r="C230" s="1" t="str">
        <f>Data!D230</f>
        <v/>
      </c>
      <c r="D230" s="1" t="str">
        <f>Data!E230</f>
        <v/>
      </c>
      <c r="E230" s="1" t="str">
        <f>Data!F230</f>
        <v/>
      </c>
      <c r="F230" s="1" t="str">
        <f>Data!G230</f>
        <v/>
      </c>
      <c r="G230" s="1" t="str">
        <f t="shared" si="3"/>
        <v/>
      </c>
      <c r="H230" s="1" t="str">
        <f t="shared" si="4"/>
        <v/>
      </c>
    </row>
    <row r="231">
      <c r="A231" s="1" t="str">
        <f>Data!B231</f>
        <v/>
      </c>
      <c r="B231" s="1" t="str">
        <f>Data!C231</f>
        <v/>
      </c>
      <c r="C231" s="1" t="str">
        <f>Data!D231</f>
        <v/>
      </c>
      <c r="D231" s="1" t="str">
        <f>Data!E231</f>
        <v/>
      </c>
      <c r="E231" s="1" t="str">
        <f>Data!F231</f>
        <v/>
      </c>
      <c r="F231" s="1" t="str">
        <f>Data!G231</f>
        <v/>
      </c>
      <c r="G231" s="1" t="str">
        <f t="shared" si="3"/>
        <v/>
      </c>
      <c r="H231" s="1" t="str">
        <f t="shared" si="4"/>
        <v/>
      </c>
    </row>
    <row r="232">
      <c r="A232" s="1" t="str">
        <f>Data!B232</f>
        <v/>
      </c>
      <c r="B232" s="1" t="str">
        <f>Data!C232</f>
        <v/>
      </c>
      <c r="C232" s="1" t="str">
        <f>Data!D232</f>
        <v/>
      </c>
      <c r="D232" s="1" t="str">
        <f>Data!E232</f>
        <v/>
      </c>
      <c r="E232" s="1" t="str">
        <f>Data!F232</f>
        <v/>
      </c>
      <c r="F232" s="1" t="str">
        <f>Data!G232</f>
        <v/>
      </c>
      <c r="G232" s="1" t="str">
        <f t="shared" si="3"/>
        <v/>
      </c>
      <c r="H232" s="1" t="str">
        <f t="shared" si="4"/>
        <v/>
      </c>
    </row>
    <row r="233">
      <c r="A233" s="1" t="str">
        <f>Data!B233</f>
        <v/>
      </c>
      <c r="B233" s="1" t="str">
        <f>Data!C233</f>
        <v/>
      </c>
      <c r="C233" s="1" t="str">
        <f>Data!D233</f>
        <v/>
      </c>
      <c r="D233" s="1" t="str">
        <f>Data!E233</f>
        <v/>
      </c>
      <c r="E233" s="1" t="str">
        <f>Data!F233</f>
        <v/>
      </c>
      <c r="F233" s="1" t="str">
        <f>Data!G233</f>
        <v/>
      </c>
      <c r="G233" s="1" t="str">
        <f t="shared" si="3"/>
        <v/>
      </c>
      <c r="H233" s="1" t="str">
        <f t="shared" si="4"/>
        <v/>
      </c>
    </row>
    <row r="234">
      <c r="A234" s="1" t="str">
        <f>Data!B234</f>
        <v/>
      </c>
      <c r="B234" s="1" t="str">
        <f>Data!C234</f>
        <v/>
      </c>
      <c r="C234" s="1" t="str">
        <f>Data!D234</f>
        <v/>
      </c>
      <c r="D234" s="1" t="str">
        <f>Data!E234</f>
        <v/>
      </c>
      <c r="E234" s="1" t="str">
        <f>Data!F234</f>
        <v/>
      </c>
      <c r="F234" s="1" t="str">
        <f>Data!G234</f>
        <v/>
      </c>
      <c r="G234" s="1" t="str">
        <f t="shared" si="3"/>
        <v/>
      </c>
      <c r="H234" s="1" t="str">
        <f t="shared" si="4"/>
        <v/>
      </c>
    </row>
    <row r="235">
      <c r="A235" s="1" t="str">
        <f>Data!B235</f>
        <v/>
      </c>
      <c r="B235" s="1" t="str">
        <f>Data!C235</f>
        <v/>
      </c>
      <c r="C235" s="1" t="str">
        <f>Data!D235</f>
        <v/>
      </c>
      <c r="D235" s="1" t="str">
        <f>Data!E235</f>
        <v/>
      </c>
      <c r="E235" s="1" t="str">
        <f>Data!F235</f>
        <v/>
      </c>
      <c r="F235" s="1" t="str">
        <f>Data!G235</f>
        <v/>
      </c>
      <c r="G235" s="1" t="str">
        <f t="shared" si="3"/>
        <v/>
      </c>
      <c r="H235" s="1" t="str">
        <f t="shared" si="4"/>
        <v/>
      </c>
    </row>
    <row r="236">
      <c r="A236" s="1" t="str">
        <f>Data!B236</f>
        <v/>
      </c>
      <c r="B236" s="1" t="str">
        <f>Data!C236</f>
        <v/>
      </c>
      <c r="C236" s="1" t="str">
        <f>Data!D236</f>
        <v/>
      </c>
      <c r="D236" s="1" t="str">
        <f>Data!E236</f>
        <v/>
      </c>
      <c r="E236" s="1" t="str">
        <f>Data!F236</f>
        <v/>
      </c>
      <c r="F236" s="1" t="str">
        <f>Data!G236</f>
        <v/>
      </c>
      <c r="G236" s="1" t="str">
        <f t="shared" si="3"/>
        <v/>
      </c>
      <c r="H236" s="1" t="str">
        <f t="shared" si="4"/>
        <v/>
      </c>
    </row>
    <row r="237">
      <c r="A237" s="1" t="str">
        <f>Data!B237</f>
        <v/>
      </c>
      <c r="B237" s="1" t="str">
        <f>Data!C237</f>
        <v/>
      </c>
      <c r="C237" s="1" t="str">
        <f>Data!D237</f>
        <v/>
      </c>
      <c r="D237" s="1" t="str">
        <f>Data!E237</f>
        <v/>
      </c>
      <c r="E237" s="1" t="str">
        <f>Data!F237</f>
        <v/>
      </c>
      <c r="F237" s="1" t="str">
        <f>Data!G237</f>
        <v/>
      </c>
      <c r="G237" s="1" t="str">
        <f t="shared" si="3"/>
        <v/>
      </c>
      <c r="H237" s="1" t="str">
        <f t="shared" si="4"/>
        <v/>
      </c>
    </row>
    <row r="238">
      <c r="A238" s="1" t="str">
        <f>Data!B238</f>
        <v/>
      </c>
      <c r="B238" s="1" t="str">
        <f>Data!C238</f>
        <v/>
      </c>
      <c r="C238" s="1" t="str">
        <f>Data!D238</f>
        <v/>
      </c>
      <c r="D238" s="1" t="str">
        <f>Data!E238</f>
        <v/>
      </c>
      <c r="E238" s="1" t="str">
        <f>Data!F238</f>
        <v/>
      </c>
      <c r="F238" s="1" t="str">
        <f>Data!G238</f>
        <v/>
      </c>
      <c r="G238" s="1" t="str">
        <f t="shared" si="3"/>
        <v/>
      </c>
      <c r="H238" s="1" t="str">
        <f t="shared" si="4"/>
        <v/>
      </c>
    </row>
    <row r="239">
      <c r="A239" s="1" t="str">
        <f>Data!B239</f>
        <v/>
      </c>
      <c r="B239" s="1" t="str">
        <f>Data!C239</f>
        <v/>
      </c>
      <c r="C239" s="1" t="str">
        <f>Data!D239</f>
        <v/>
      </c>
      <c r="D239" s="1" t="str">
        <f>Data!E239</f>
        <v/>
      </c>
      <c r="E239" s="1" t="str">
        <f>Data!F239</f>
        <v/>
      </c>
      <c r="F239" s="1" t="str">
        <f>Data!G239</f>
        <v/>
      </c>
      <c r="G239" s="1" t="str">
        <f t="shared" si="3"/>
        <v/>
      </c>
      <c r="H239" s="1" t="str">
        <f t="shared" si="4"/>
        <v/>
      </c>
    </row>
    <row r="240">
      <c r="A240" s="1" t="str">
        <f>Data!B240</f>
        <v/>
      </c>
      <c r="B240" s="1" t="str">
        <f>Data!C240</f>
        <v/>
      </c>
      <c r="C240" s="1" t="str">
        <f>Data!D240</f>
        <v/>
      </c>
      <c r="D240" s="1" t="str">
        <f>Data!E240</f>
        <v/>
      </c>
      <c r="E240" s="1" t="str">
        <f>Data!F240</f>
        <v/>
      </c>
      <c r="F240" s="1" t="str">
        <f>Data!G240</f>
        <v/>
      </c>
      <c r="G240" s="1" t="str">
        <f t="shared" si="3"/>
        <v/>
      </c>
      <c r="H240" s="1" t="str">
        <f t="shared" si="4"/>
        <v/>
      </c>
    </row>
    <row r="241">
      <c r="A241" s="1" t="str">
        <f>Data!B241</f>
        <v/>
      </c>
      <c r="B241" s="1" t="str">
        <f>Data!C241</f>
        <v/>
      </c>
      <c r="C241" s="1" t="str">
        <f>Data!D241</f>
        <v/>
      </c>
      <c r="D241" s="1" t="str">
        <f>Data!E241</f>
        <v/>
      </c>
      <c r="E241" s="1" t="str">
        <f>Data!F241</f>
        <v/>
      </c>
      <c r="F241" s="1" t="str">
        <f>Data!G241</f>
        <v/>
      </c>
      <c r="G241" s="1" t="str">
        <f t="shared" si="3"/>
        <v/>
      </c>
      <c r="H241" s="1" t="str">
        <f t="shared" si="4"/>
        <v/>
      </c>
    </row>
    <row r="242">
      <c r="A242" s="1" t="str">
        <f>Data!B242</f>
        <v/>
      </c>
      <c r="B242" s="1" t="str">
        <f>Data!C242</f>
        <v/>
      </c>
      <c r="C242" s="1" t="str">
        <f>Data!D242</f>
        <v/>
      </c>
      <c r="D242" s="1" t="str">
        <f>Data!E242</f>
        <v/>
      </c>
      <c r="E242" s="1" t="str">
        <f>Data!F242</f>
        <v/>
      </c>
      <c r="F242" s="1" t="str">
        <f>Data!G242</f>
        <v/>
      </c>
      <c r="G242" s="1" t="str">
        <f t="shared" si="3"/>
        <v/>
      </c>
      <c r="H242" s="1" t="str">
        <f t="shared" si="4"/>
        <v/>
      </c>
    </row>
    <row r="243">
      <c r="A243" s="1" t="str">
        <f>Data!B243</f>
        <v/>
      </c>
      <c r="B243" s="1" t="str">
        <f>Data!C243</f>
        <v/>
      </c>
      <c r="C243" s="1" t="str">
        <f>Data!D243</f>
        <v/>
      </c>
      <c r="D243" s="1" t="str">
        <f>Data!E243</f>
        <v/>
      </c>
      <c r="E243" s="1" t="str">
        <f>Data!F243</f>
        <v/>
      </c>
      <c r="F243" s="1" t="str">
        <f>Data!G243</f>
        <v/>
      </c>
      <c r="G243" s="1" t="str">
        <f t="shared" si="3"/>
        <v/>
      </c>
      <c r="H243" s="1" t="str">
        <f t="shared" si="4"/>
        <v/>
      </c>
    </row>
    <row r="244">
      <c r="A244" s="1" t="str">
        <f>Data!B244</f>
        <v/>
      </c>
      <c r="B244" s="1" t="str">
        <f>Data!C244</f>
        <v/>
      </c>
      <c r="C244" s="1" t="str">
        <f>Data!D244</f>
        <v/>
      </c>
      <c r="D244" s="1" t="str">
        <f>Data!E244</f>
        <v/>
      </c>
      <c r="E244" s="1" t="str">
        <f>Data!F244</f>
        <v/>
      </c>
      <c r="F244" s="1" t="str">
        <f>Data!G244</f>
        <v/>
      </c>
      <c r="G244" s="1" t="str">
        <f t="shared" si="3"/>
        <v/>
      </c>
      <c r="H244" s="1" t="str">
        <f t="shared" si="4"/>
        <v/>
      </c>
    </row>
    <row r="245">
      <c r="A245" s="1" t="str">
        <f>Data!B245</f>
        <v/>
      </c>
      <c r="B245" s="1" t="str">
        <f>Data!C245</f>
        <v/>
      </c>
      <c r="C245" s="1" t="str">
        <f>Data!D245</f>
        <v/>
      </c>
      <c r="D245" s="1" t="str">
        <f>Data!E245</f>
        <v/>
      </c>
      <c r="E245" s="1" t="str">
        <f>Data!F245</f>
        <v/>
      </c>
      <c r="F245" s="1" t="str">
        <f>Data!G245</f>
        <v/>
      </c>
      <c r="G245" s="1" t="str">
        <f t="shared" si="3"/>
        <v/>
      </c>
      <c r="H245" s="1" t="str">
        <f t="shared" si="4"/>
        <v/>
      </c>
    </row>
    <row r="246">
      <c r="A246" s="1" t="str">
        <f>Data!B246</f>
        <v/>
      </c>
      <c r="B246" s="1" t="str">
        <f>Data!C246</f>
        <v/>
      </c>
      <c r="C246" s="1" t="str">
        <f>Data!D246</f>
        <v/>
      </c>
      <c r="D246" s="1" t="str">
        <f>Data!E246</f>
        <v/>
      </c>
      <c r="E246" s="1" t="str">
        <f>Data!F246</f>
        <v/>
      </c>
      <c r="F246" s="1" t="str">
        <f>Data!G246</f>
        <v/>
      </c>
      <c r="G246" s="1" t="str">
        <f t="shared" si="3"/>
        <v/>
      </c>
      <c r="H246" s="1" t="str">
        <f t="shared" si="4"/>
        <v/>
      </c>
    </row>
    <row r="247">
      <c r="A247" s="1" t="str">
        <f>Data!B247</f>
        <v/>
      </c>
      <c r="B247" s="1" t="str">
        <f>Data!C247</f>
        <v/>
      </c>
      <c r="C247" s="1" t="str">
        <f>Data!D247</f>
        <v/>
      </c>
      <c r="D247" s="1" t="str">
        <f>Data!E247</f>
        <v/>
      </c>
      <c r="E247" s="1" t="str">
        <f>Data!F247</f>
        <v/>
      </c>
      <c r="F247" s="1" t="str">
        <f>Data!G247</f>
        <v/>
      </c>
      <c r="G247" s="1" t="str">
        <f t="shared" si="3"/>
        <v/>
      </c>
      <c r="H247" s="1" t="str">
        <f t="shared" si="4"/>
        <v/>
      </c>
    </row>
    <row r="248">
      <c r="A248" s="1" t="str">
        <f>Data!B248</f>
        <v/>
      </c>
      <c r="B248" s="1" t="str">
        <f>Data!C248</f>
        <v/>
      </c>
      <c r="C248" s="1" t="str">
        <f>Data!D248</f>
        <v/>
      </c>
      <c r="D248" s="1" t="str">
        <f>Data!E248</f>
        <v/>
      </c>
      <c r="E248" s="1" t="str">
        <f>Data!F248</f>
        <v/>
      </c>
      <c r="F248" s="1" t="str">
        <f>Data!G248</f>
        <v/>
      </c>
      <c r="G248" s="1" t="str">
        <f t="shared" si="3"/>
        <v/>
      </c>
      <c r="H248" s="1" t="str">
        <f t="shared" si="4"/>
        <v/>
      </c>
    </row>
    <row r="249">
      <c r="A249" s="1" t="str">
        <f>Data!B249</f>
        <v/>
      </c>
      <c r="B249" s="1" t="str">
        <f>Data!C249</f>
        <v/>
      </c>
      <c r="C249" s="1" t="str">
        <f>Data!D249</f>
        <v/>
      </c>
      <c r="D249" s="1" t="str">
        <f>Data!E249</f>
        <v/>
      </c>
      <c r="E249" s="1" t="str">
        <f>Data!F249</f>
        <v/>
      </c>
      <c r="F249" s="1" t="str">
        <f>Data!G249</f>
        <v/>
      </c>
      <c r="G249" s="1" t="str">
        <f t="shared" si="3"/>
        <v/>
      </c>
      <c r="H249" s="1" t="str">
        <f t="shared" si="4"/>
        <v/>
      </c>
    </row>
    <row r="250">
      <c r="A250" s="1" t="str">
        <f>Data!B250</f>
        <v/>
      </c>
      <c r="B250" s="1" t="str">
        <f>Data!C250</f>
        <v/>
      </c>
      <c r="C250" s="1" t="str">
        <f>Data!D250</f>
        <v/>
      </c>
      <c r="D250" s="1" t="str">
        <f>Data!E250</f>
        <v/>
      </c>
      <c r="E250" s="1" t="str">
        <f>Data!F250</f>
        <v/>
      </c>
      <c r="F250" s="1" t="str">
        <f>Data!G250</f>
        <v/>
      </c>
      <c r="G250" s="1" t="str">
        <f t="shared" si="3"/>
        <v/>
      </c>
      <c r="H250" s="1" t="str">
        <f t="shared" si="4"/>
        <v/>
      </c>
    </row>
    <row r="251">
      <c r="A251" s="1" t="str">
        <f>Data!B251</f>
        <v/>
      </c>
      <c r="B251" s="1" t="str">
        <f>Data!C251</f>
        <v/>
      </c>
      <c r="C251" s="1" t="str">
        <f>Data!D251</f>
        <v/>
      </c>
      <c r="D251" s="1" t="str">
        <f>Data!E251</f>
        <v/>
      </c>
      <c r="E251" s="1" t="str">
        <f>Data!F251</f>
        <v/>
      </c>
      <c r="F251" s="1" t="str">
        <f>Data!G251</f>
        <v/>
      </c>
      <c r="G251" s="1" t="str">
        <f t="shared" si="3"/>
        <v/>
      </c>
      <c r="H251" s="1" t="str">
        <f t="shared" si="4"/>
        <v/>
      </c>
    </row>
    <row r="252">
      <c r="A252" s="1" t="str">
        <f>Data!B252</f>
        <v/>
      </c>
      <c r="B252" s="1" t="str">
        <f>Data!C252</f>
        <v/>
      </c>
      <c r="C252" s="1" t="str">
        <f>Data!D252</f>
        <v/>
      </c>
      <c r="D252" s="1" t="str">
        <f>Data!E252</f>
        <v/>
      </c>
      <c r="E252" s="1" t="str">
        <f>Data!F252</f>
        <v/>
      </c>
      <c r="F252" s="1" t="str">
        <f>Data!G252</f>
        <v/>
      </c>
      <c r="G252" s="1" t="str">
        <f t="shared" si="3"/>
        <v/>
      </c>
      <c r="H252" s="1" t="str">
        <f t="shared" si="4"/>
        <v/>
      </c>
    </row>
    <row r="253">
      <c r="A253" s="1" t="str">
        <f>Data!B253</f>
        <v/>
      </c>
      <c r="B253" s="1" t="str">
        <f>Data!C253</f>
        <v/>
      </c>
      <c r="C253" s="1" t="str">
        <f>Data!D253</f>
        <v/>
      </c>
      <c r="D253" s="1" t="str">
        <f>Data!E253</f>
        <v/>
      </c>
      <c r="E253" s="1" t="str">
        <f>Data!F253</f>
        <v/>
      </c>
      <c r="F253" s="1" t="str">
        <f>Data!G253</f>
        <v/>
      </c>
      <c r="G253" s="1" t="str">
        <f t="shared" si="3"/>
        <v/>
      </c>
      <c r="H253" s="1" t="str">
        <f t="shared" si="4"/>
        <v/>
      </c>
    </row>
    <row r="254">
      <c r="A254" s="1" t="str">
        <f>Data!B254</f>
        <v/>
      </c>
      <c r="B254" s="1" t="str">
        <f>Data!C254</f>
        <v/>
      </c>
      <c r="C254" s="1" t="str">
        <f>Data!D254</f>
        <v/>
      </c>
      <c r="D254" s="1" t="str">
        <f>Data!E254</f>
        <v/>
      </c>
      <c r="E254" s="1" t="str">
        <f>Data!F254</f>
        <v/>
      </c>
      <c r="F254" s="1" t="str">
        <f>Data!G254</f>
        <v/>
      </c>
      <c r="G254" s="1" t="str">
        <f t="shared" si="3"/>
        <v/>
      </c>
      <c r="H254" s="1" t="str">
        <f t="shared" si="4"/>
        <v/>
      </c>
    </row>
    <row r="255">
      <c r="A255" s="1" t="str">
        <f>Data!B255</f>
        <v/>
      </c>
      <c r="B255" s="1" t="str">
        <f>Data!C255</f>
        <v/>
      </c>
      <c r="C255" s="1" t="str">
        <f>Data!D255</f>
        <v/>
      </c>
      <c r="D255" s="1" t="str">
        <f>Data!E255</f>
        <v/>
      </c>
      <c r="E255" s="1" t="str">
        <f>Data!F255</f>
        <v/>
      </c>
      <c r="F255" s="1" t="str">
        <f>Data!G255</f>
        <v/>
      </c>
      <c r="G255" s="1" t="str">
        <f t="shared" si="3"/>
        <v/>
      </c>
      <c r="H255" s="1" t="str">
        <f t="shared" si="4"/>
        <v/>
      </c>
    </row>
    <row r="256">
      <c r="A256" s="1" t="str">
        <f>Data!B256</f>
        <v/>
      </c>
      <c r="B256" s="1" t="str">
        <f>Data!C256</f>
        <v/>
      </c>
      <c r="C256" s="1" t="str">
        <f>Data!D256</f>
        <v/>
      </c>
      <c r="D256" s="1" t="str">
        <f>Data!E256</f>
        <v/>
      </c>
      <c r="E256" s="1" t="str">
        <f>Data!F256</f>
        <v/>
      </c>
      <c r="F256" s="1" t="str">
        <f>Data!G256</f>
        <v/>
      </c>
      <c r="G256" s="1" t="str">
        <f t="shared" si="3"/>
        <v/>
      </c>
      <c r="H256" s="1" t="str">
        <f t="shared" si="4"/>
        <v/>
      </c>
    </row>
    <row r="257">
      <c r="A257" s="1" t="str">
        <f>Data!B257</f>
        <v/>
      </c>
      <c r="B257" s="1" t="str">
        <f>Data!C257</f>
        <v/>
      </c>
      <c r="C257" s="1" t="str">
        <f>Data!D257</f>
        <v/>
      </c>
      <c r="D257" s="1" t="str">
        <f>Data!E257</f>
        <v/>
      </c>
      <c r="E257" s="1" t="str">
        <f>Data!F257</f>
        <v/>
      </c>
      <c r="F257" s="1" t="str">
        <f>Data!G257</f>
        <v/>
      </c>
      <c r="G257" s="1" t="str">
        <f t="shared" si="3"/>
        <v/>
      </c>
      <c r="H257" s="1" t="str">
        <f t="shared" si="4"/>
        <v/>
      </c>
    </row>
    <row r="258">
      <c r="A258" s="1" t="str">
        <f>Data!B258</f>
        <v/>
      </c>
      <c r="B258" s="1" t="str">
        <f>Data!C258</f>
        <v/>
      </c>
      <c r="C258" s="1" t="str">
        <f>Data!D258</f>
        <v/>
      </c>
      <c r="D258" s="1" t="str">
        <f>Data!E258</f>
        <v/>
      </c>
      <c r="E258" s="1" t="str">
        <f>Data!F258</f>
        <v/>
      </c>
      <c r="F258" s="1" t="str">
        <f>Data!G258</f>
        <v/>
      </c>
      <c r="G258" s="1" t="str">
        <f t="shared" si="3"/>
        <v/>
      </c>
      <c r="H258" s="1" t="str">
        <f t="shared" si="4"/>
        <v/>
      </c>
    </row>
    <row r="259">
      <c r="A259" s="1" t="str">
        <f>Data!B259</f>
        <v/>
      </c>
      <c r="B259" s="1" t="str">
        <f>Data!C259</f>
        <v/>
      </c>
      <c r="C259" s="1" t="str">
        <f>Data!D259</f>
        <v/>
      </c>
      <c r="D259" s="1" t="str">
        <f>Data!E259</f>
        <v/>
      </c>
      <c r="E259" s="1" t="str">
        <f>Data!F259</f>
        <v/>
      </c>
      <c r="F259" s="1" t="str">
        <f>Data!G259</f>
        <v/>
      </c>
      <c r="G259" s="1" t="str">
        <f t="shared" si="3"/>
        <v/>
      </c>
      <c r="H259" s="1" t="str">
        <f t="shared" si="4"/>
        <v/>
      </c>
    </row>
    <row r="260">
      <c r="A260" s="1" t="str">
        <f>Data!B260</f>
        <v/>
      </c>
      <c r="B260" s="1" t="str">
        <f>Data!C260</f>
        <v/>
      </c>
      <c r="C260" s="1" t="str">
        <f>Data!D260</f>
        <v/>
      </c>
      <c r="D260" s="1" t="str">
        <f>Data!E260</f>
        <v/>
      </c>
      <c r="E260" s="1" t="str">
        <f>Data!F260</f>
        <v/>
      </c>
      <c r="F260" s="1" t="str">
        <f>Data!G260</f>
        <v/>
      </c>
      <c r="G260" s="1" t="str">
        <f t="shared" si="3"/>
        <v/>
      </c>
      <c r="H260" s="1" t="str">
        <f t="shared" si="4"/>
        <v/>
      </c>
    </row>
    <row r="261">
      <c r="A261" s="1" t="str">
        <f>Data!B261</f>
        <v/>
      </c>
      <c r="B261" s="1" t="str">
        <f>Data!C261</f>
        <v/>
      </c>
      <c r="C261" s="1" t="str">
        <f>Data!D261</f>
        <v/>
      </c>
      <c r="D261" s="1" t="str">
        <f>Data!E261</f>
        <v/>
      </c>
      <c r="E261" s="1" t="str">
        <f>Data!F261</f>
        <v/>
      </c>
      <c r="F261" s="1" t="str">
        <f>Data!G261</f>
        <v/>
      </c>
      <c r="G261" s="1" t="str">
        <f t="shared" si="3"/>
        <v/>
      </c>
      <c r="H261" s="1" t="str">
        <f t="shared" si="4"/>
        <v/>
      </c>
    </row>
    <row r="262">
      <c r="A262" s="1" t="str">
        <f>Data!B262</f>
        <v/>
      </c>
      <c r="B262" s="1" t="str">
        <f>Data!C262</f>
        <v/>
      </c>
      <c r="C262" s="1" t="str">
        <f>Data!D262</f>
        <v/>
      </c>
      <c r="D262" s="1" t="str">
        <f>Data!E262</f>
        <v/>
      </c>
      <c r="E262" s="1" t="str">
        <f>Data!F262</f>
        <v/>
      </c>
      <c r="F262" s="1" t="str">
        <f>Data!G262</f>
        <v/>
      </c>
      <c r="G262" s="1" t="str">
        <f t="shared" si="3"/>
        <v/>
      </c>
      <c r="H262" s="1" t="str">
        <f t="shared" si="4"/>
        <v/>
      </c>
    </row>
    <row r="263">
      <c r="A263" s="1" t="str">
        <f>Data!B263</f>
        <v/>
      </c>
      <c r="B263" s="1" t="str">
        <f>Data!C263</f>
        <v/>
      </c>
      <c r="C263" s="1" t="str">
        <f>Data!D263</f>
        <v/>
      </c>
      <c r="D263" s="1" t="str">
        <f>Data!E263</f>
        <v/>
      </c>
      <c r="E263" s="1" t="str">
        <f>Data!F263</f>
        <v/>
      </c>
      <c r="F263" s="1" t="str">
        <f>Data!G263</f>
        <v/>
      </c>
      <c r="G263" s="1" t="str">
        <f t="shared" si="3"/>
        <v/>
      </c>
      <c r="H263" s="1" t="str">
        <f t="shared" si="4"/>
        <v/>
      </c>
    </row>
    <row r="264">
      <c r="A264" s="1" t="str">
        <f>Data!B264</f>
        <v/>
      </c>
      <c r="B264" s="1" t="str">
        <f>Data!C264</f>
        <v/>
      </c>
      <c r="C264" s="1" t="str">
        <f>Data!D264</f>
        <v/>
      </c>
      <c r="D264" s="1" t="str">
        <f>Data!E264</f>
        <v/>
      </c>
      <c r="E264" s="1" t="str">
        <f>Data!F264</f>
        <v/>
      </c>
      <c r="F264" s="1" t="str">
        <f>Data!G264</f>
        <v/>
      </c>
      <c r="G264" s="1" t="str">
        <f t="shared" si="3"/>
        <v/>
      </c>
      <c r="H264" s="1" t="str">
        <f t="shared" si="4"/>
        <v/>
      </c>
    </row>
    <row r="265">
      <c r="A265" s="1" t="str">
        <f>Data!B265</f>
        <v/>
      </c>
      <c r="B265" s="1" t="str">
        <f>Data!C265</f>
        <v/>
      </c>
      <c r="C265" s="1" t="str">
        <f>Data!D265</f>
        <v/>
      </c>
      <c r="D265" s="1" t="str">
        <f>Data!E265</f>
        <v/>
      </c>
      <c r="E265" s="1" t="str">
        <f>Data!F265</f>
        <v/>
      </c>
      <c r="F265" s="1" t="str">
        <f>Data!G265</f>
        <v/>
      </c>
      <c r="G265" s="1" t="str">
        <f t="shared" si="3"/>
        <v/>
      </c>
      <c r="H265" s="1" t="str">
        <f t="shared" si="4"/>
        <v/>
      </c>
    </row>
    <row r="266">
      <c r="A266" s="1" t="str">
        <f>Data!B266</f>
        <v/>
      </c>
      <c r="B266" s="1" t="str">
        <f>Data!C266</f>
        <v/>
      </c>
      <c r="C266" s="1" t="str">
        <f>Data!D266</f>
        <v/>
      </c>
      <c r="D266" s="1" t="str">
        <f>Data!E266</f>
        <v/>
      </c>
      <c r="E266" s="1" t="str">
        <f>Data!F266</f>
        <v/>
      </c>
      <c r="F266" s="1" t="str">
        <f>Data!G266</f>
        <v/>
      </c>
      <c r="G266" s="1" t="str">
        <f t="shared" si="3"/>
        <v/>
      </c>
      <c r="H266" s="1" t="str">
        <f t="shared" si="4"/>
        <v/>
      </c>
    </row>
    <row r="267">
      <c r="A267" s="1" t="str">
        <f>Data!B267</f>
        <v/>
      </c>
      <c r="B267" s="1" t="str">
        <f>Data!C267</f>
        <v/>
      </c>
      <c r="C267" s="1" t="str">
        <f>Data!D267</f>
        <v/>
      </c>
      <c r="D267" s="1" t="str">
        <f>Data!E267</f>
        <v/>
      </c>
      <c r="E267" s="1" t="str">
        <f>Data!F267</f>
        <v/>
      </c>
      <c r="F267" s="1" t="str">
        <f>Data!G267</f>
        <v/>
      </c>
      <c r="G267" s="1" t="str">
        <f t="shared" si="3"/>
        <v/>
      </c>
      <c r="H267" s="1" t="str">
        <f t="shared" si="4"/>
        <v/>
      </c>
    </row>
    <row r="268">
      <c r="A268" s="1" t="str">
        <f>Data!B268</f>
        <v/>
      </c>
      <c r="B268" s="1" t="str">
        <f>Data!C268</f>
        <v/>
      </c>
      <c r="C268" s="1" t="str">
        <f>Data!D268</f>
        <v/>
      </c>
      <c r="D268" s="1" t="str">
        <f>Data!E268</f>
        <v/>
      </c>
      <c r="E268" s="1" t="str">
        <f>Data!F268</f>
        <v/>
      </c>
      <c r="F268" s="1" t="str">
        <f>Data!G268</f>
        <v/>
      </c>
      <c r="G268" s="1" t="str">
        <f t="shared" si="3"/>
        <v/>
      </c>
      <c r="H268" s="1" t="str">
        <f t="shared" si="4"/>
        <v/>
      </c>
    </row>
    <row r="269">
      <c r="A269" s="1" t="str">
        <f>Data!B269</f>
        <v/>
      </c>
      <c r="B269" s="1" t="str">
        <f>Data!C269</f>
        <v/>
      </c>
      <c r="C269" s="1" t="str">
        <f>Data!D269</f>
        <v/>
      </c>
      <c r="D269" s="1" t="str">
        <f>Data!E269</f>
        <v/>
      </c>
      <c r="E269" s="1" t="str">
        <f>Data!F269</f>
        <v/>
      </c>
      <c r="F269" s="1" t="str">
        <f>Data!G269</f>
        <v/>
      </c>
      <c r="G269" s="1" t="str">
        <f t="shared" si="3"/>
        <v/>
      </c>
      <c r="H269" s="1" t="str">
        <f t="shared" si="4"/>
        <v/>
      </c>
    </row>
    <row r="270">
      <c r="A270" s="1" t="str">
        <f>Data!B270</f>
        <v/>
      </c>
      <c r="B270" s="1" t="str">
        <f>Data!C270</f>
        <v/>
      </c>
      <c r="C270" s="1" t="str">
        <f>Data!D270</f>
        <v/>
      </c>
      <c r="D270" s="1" t="str">
        <f>Data!E270</f>
        <v/>
      </c>
      <c r="E270" s="1" t="str">
        <f>Data!F270</f>
        <v/>
      </c>
      <c r="F270" s="1" t="str">
        <f>Data!G270</f>
        <v/>
      </c>
      <c r="G270" s="1" t="str">
        <f t="shared" si="3"/>
        <v/>
      </c>
      <c r="H270" s="1" t="str">
        <f t="shared" si="4"/>
        <v/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4.38"/>
    <col customWidth="1" min="3" max="3" width="25.63"/>
    <col customWidth="1" min="4" max="4" width="31.0"/>
  </cols>
  <sheetData>
    <row r="1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7</v>
      </c>
      <c r="B2" s="5" t="s">
        <v>8</v>
      </c>
      <c r="C2" s="5" t="s">
        <v>9</v>
      </c>
      <c r="D2" s="5" t="s">
        <v>10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11</v>
      </c>
      <c r="B3" s="6">
        <v>300.0</v>
      </c>
      <c r="C3" s="7">
        <v>135.0</v>
      </c>
      <c r="D3" s="8">
        <v>140.0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12</v>
      </c>
      <c r="B4" s="9">
        <v>200.0</v>
      </c>
      <c r="C4" s="8">
        <v>60.0</v>
      </c>
      <c r="D4" s="8">
        <v>70.0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13</v>
      </c>
      <c r="B7" s="4"/>
      <c r="C7" s="1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11</v>
      </c>
      <c r="B8" s="11"/>
      <c r="C8" s="1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7</v>
      </c>
      <c r="B9" s="12" t="s">
        <v>14</v>
      </c>
      <c r="C9" s="1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16</v>
      </c>
      <c r="B10" s="13">
        <v>8.0</v>
      </c>
      <c r="C10" s="14">
        <v>0.35</v>
      </c>
      <c r="D10" s="4"/>
      <c r="E10" s="9"/>
      <c r="F10" s="4"/>
      <c r="G10" s="4"/>
      <c r="H10" s="4"/>
      <c r="I10" s="4"/>
      <c r="J10" s="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17</v>
      </c>
      <c r="B11" s="13">
        <v>50.0</v>
      </c>
      <c r="C11" s="14">
        <v>0.35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18</v>
      </c>
      <c r="B12" s="13">
        <v>400.0</v>
      </c>
      <c r="C12" s="14">
        <v>0.1</v>
      </c>
      <c r="D12" s="4"/>
      <c r="E12" s="9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19</v>
      </c>
      <c r="B13" s="13">
        <v>300.0</v>
      </c>
      <c r="C13" s="14">
        <v>0.1</v>
      </c>
      <c r="D13" s="4"/>
      <c r="E13" s="9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20</v>
      </c>
      <c r="B14" s="13">
        <v>90.0</v>
      </c>
      <c r="C14" s="15">
        <v>0.05</v>
      </c>
      <c r="D14" s="4"/>
      <c r="E14" s="9"/>
      <c r="F14" s="1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21</v>
      </c>
      <c r="B15" s="13">
        <v>1100.0</v>
      </c>
      <c r="C15" s="15">
        <v>0.02</v>
      </c>
      <c r="D15" s="4"/>
      <c r="E15" s="9"/>
      <c r="F15" s="1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22</v>
      </c>
      <c r="B16" s="13">
        <v>1200.0</v>
      </c>
      <c r="C16" s="17">
        <v>0.03</v>
      </c>
      <c r="D16" s="4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9"/>
      <c r="C17" s="10"/>
      <c r="D17" s="4"/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12</v>
      </c>
      <c r="B18" s="9"/>
      <c r="C18" s="10"/>
      <c r="D18" s="4"/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7</v>
      </c>
      <c r="B19" s="5" t="s">
        <v>23</v>
      </c>
      <c r="C19" s="3" t="s">
        <v>15</v>
      </c>
      <c r="D19" s="4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16</v>
      </c>
      <c r="B20" s="19">
        <v>8.0</v>
      </c>
      <c r="C20" s="14">
        <v>0.42</v>
      </c>
      <c r="D20" s="4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24</v>
      </c>
      <c r="B21" s="19">
        <v>80.0</v>
      </c>
      <c r="C21" s="14">
        <v>0.2</v>
      </c>
      <c r="D21" s="4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25</v>
      </c>
      <c r="B22" s="19">
        <v>40.0</v>
      </c>
      <c r="C22" s="14">
        <v>0.15</v>
      </c>
      <c r="D22" s="4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26</v>
      </c>
      <c r="B23" s="19">
        <v>29.0</v>
      </c>
      <c r="C23" s="14">
        <v>0.07</v>
      </c>
      <c r="D23" s="4"/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27</v>
      </c>
      <c r="B24" s="19">
        <v>25.0</v>
      </c>
      <c r="C24" s="14">
        <v>0.07</v>
      </c>
      <c r="D24" s="4"/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20</v>
      </c>
      <c r="B25" s="19">
        <v>90.0</v>
      </c>
      <c r="C25" s="14">
        <v>0.06</v>
      </c>
      <c r="D25" s="4"/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22</v>
      </c>
      <c r="B26" s="19">
        <v>1200.0</v>
      </c>
      <c r="C26" s="14">
        <v>0.03</v>
      </c>
      <c r="D26" s="4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2" t="s">
        <v>28</v>
      </c>
      <c r="C28" s="12" t="s">
        <v>29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 t="s">
        <v>30</v>
      </c>
      <c r="B29" s="19">
        <v>2.0</v>
      </c>
      <c r="C29" s="19">
        <v>3.0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1" t="s">
        <v>31</v>
      </c>
      <c r="B30" s="19">
        <v>8.0</v>
      </c>
      <c r="C30" s="19">
        <v>8.0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33</v>
      </c>
      <c r="B33" s="22">
        <v>150000.0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34</v>
      </c>
      <c r="B34" s="22">
        <v>75000.0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35</v>
      </c>
      <c r="B36" s="23" t="s">
        <v>36</v>
      </c>
      <c r="C36" s="3" t="s">
        <v>37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38</v>
      </c>
      <c r="B37" s="22">
        <v>80000.0</v>
      </c>
      <c r="C37" s="14">
        <v>0.1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39</v>
      </c>
      <c r="B39" s="11" t="s">
        <v>40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41</v>
      </c>
      <c r="B40" s="24">
        <v>1.0E7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42</v>
      </c>
      <c r="B41" s="24">
        <v>10000.0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43</v>
      </c>
      <c r="B42" s="24">
        <v>3.0E7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5"/>
      <c r="B44" s="4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5"/>
      <c r="B46" s="4"/>
      <c r="C46" s="4"/>
      <c r="D46" s="2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2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6.63"/>
    <col customWidth="1" min="3" max="3" width="16.5"/>
    <col customWidth="1" min="4" max="4" width="14.13"/>
    <col customWidth="1" min="5" max="5" width="12.25"/>
    <col customWidth="1" min="6" max="6" width="13.38"/>
    <col customWidth="1" min="7" max="7" width="11.5"/>
  </cols>
  <sheetData>
    <row r="1">
      <c r="A1" s="29" t="s">
        <v>44</v>
      </c>
      <c r="B1" s="29" t="s">
        <v>45</v>
      </c>
      <c r="C1" s="29" t="s">
        <v>46</v>
      </c>
      <c r="D1" s="29" t="s">
        <v>47</v>
      </c>
      <c r="E1" s="29" t="s">
        <v>48</v>
      </c>
      <c r="F1" s="29" t="s">
        <v>49</v>
      </c>
      <c r="G1" s="29" t="s">
        <v>50</v>
      </c>
    </row>
    <row r="2">
      <c r="A2" s="29" t="s">
        <v>51</v>
      </c>
    </row>
    <row r="3">
      <c r="A3" s="1" t="str">
        <f>Contribution_Old!A2</f>
        <v>Old Plan</v>
      </c>
      <c r="B3" s="30">
        <f>Contribution_Old!B$31</f>
        <v>33769678.89</v>
      </c>
      <c r="C3" s="30">
        <f>Contribution_Old!C$31</f>
        <v>36856628.21</v>
      </c>
      <c r="D3" s="30">
        <f>Contribution_Old!D$31</f>
        <v>40232112.22</v>
      </c>
      <c r="E3" s="30">
        <f>Contribution_Old!E$31</f>
        <v>43923260.15</v>
      </c>
      <c r="F3" s="30">
        <f>Contribution_Old!F$31</f>
        <v>47960309.6</v>
      </c>
      <c r="G3" s="30">
        <f>Contribution_Old!G$31</f>
        <v>52376137.98</v>
      </c>
      <c r="H3" s="31">
        <f t="shared" ref="H3:H4" si="1">SUM(B3:G3)</f>
        <v>255118127</v>
      </c>
    </row>
    <row r="4">
      <c r="A4" s="1" t="str">
        <f>Contribution_New!A2</f>
        <v>New Plan</v>
      </c>
      <c r="B4" s="30">
        <f>Contribution_New!B$31</f>
        <v>39957792.12</v>
      </c>
      <c r="C4" s="30">
        <f>Contribution_New!C$31</f>
        <v>45981863.96</v>
      </c>
      <c r="D4" s="30">
        <f>Contribution_New!D$31</f>
        <v>51788976.48</v>
      </c>
      <c r="E4" s="30">
        <f>Contribution_New!E$31</f>
        <v>59140498.18</v>
      </c>
      <c r="F4" s="30">
        <f>Contribution_New!F$31</f>
        <v>67713063.77</v>
      </c>
      <c r="G4" s="30">
        <f>Contribution_New!G$31</f>
        <v>77149409.36</v>
      </c>
      <c r="H4" s="31">
        <f t="shared" si="1"/>
        <v>341731603.9</v>
      </c>
    </row>
    <row r="5">
      <c r="B5" s="30"/>
      <c r="C5" s="30"/>
      <c r="D5" s="30"/>
      <c r="E5" s="30"/>
      <c r="F5" s="30"/>
      <c r="G5" s="30"/>
    </row>
    <row r="6">
      <c r="A6" s="29" t="s">
        <v>52</v>
      </c>
      <c r="B6" s="30">
        <f t="shared" ref="B6:G6" si="2">B$4-B$3</f>
        <v>6188113.232</v>
      </c>
      <c r="C6" s="30">
        <f t="shared" si="2"/>
        <v>9125235.756</v>
      </c>
      <c r="D6" s="30">
        <f t="shared" si="2"/>
        <v>11556864.26</v>
      </c>
      <c r="E6" s="30">
        <f t="shared" si="2"/>
        <v>15217238.03</v>
      </c>
      <c r="F6" s="30">
        <f t="shared" si="2"/>
        <v>19752754.17</v>
      </c>
      <c r="G6" s="30">
        <f t="shared" si="2"/>
        <v>24773271.39</v>
      </c>
      <c r="H6" s="31">
        <f>SUM(B6:G6)</f>
        <v>86613476.84</v>
      </c>
    </row>
    <row r="7">
      <c r="B7" s="30"/>
      <c r="C7" s="30"/>
      <c r="D7" s="30"/>
      <c r="E7" s="30"/>
      <c r="F7" s="30"/>
      <c r="G7" s="30"/>
    </row>
    <row r="8">
      <c r="A8" s="32" t="s">
        <v>52</v>
      </c>
      <c r="B8" s="30"/>
      <c r="C8" s="30"/>
      <c r="D8" s="30"/>
      <c r="E8" s="30"/>
      <c r="F8" s="30"/>
      <c r="G8" s="30"/>
    </row>
    <row r="9">
      <c r="A9" s="1" t="str">
        <f>Assumption!A40</f>
        <v>Ads Preparation </v>
      </c>
      <c r="B9" s="30">
        <f>Assumption!B40</f>
        <v>10000000</v>
      </c>
      <c r="C9" s="33">
        <v>0.0</v>
      </c>
      <c r="D9" s="33">
        <v>0.0</v>
      </c>
      <c r="E9" s="33">
        <v>0.0</v>
      </c>
      <c r="F9" s="33">
        <v>0.0</v>
      </c>
      <c r="G9" s="33">
        <v>0.0</v>
      </c>
    </row>
    <row r="10">
      <c r="A10" s="1" t="str">
        <f>Assumption!A41</f>
        <v>New Design</v>
      </c>
      <c r="B10" s="30">
        <f>Assumption!B41</f>
        <v>10000</v>
      </c>
      <c r="C10" s="33">
        <v>0.0</v>
      </c>
      <c r="D10" s="33">
        <v>0.0</v>
      </c>
      <c r="E10" s="33">
        <v>0.0</v>
      </c>
      <c r="F10" s="33">
        <v>0.0</v>
      </c>
      <c r="G10" s="33">
        <v>0.0</v>
      </c>
    </row>
    <row r="11">
      <c r="A11" s="1" t="str">
        <f>Assumption!A42</f>
        <v>Incremental Advertising</v>
      </c>
      <c r="B11" s="30">
        <f>Assumption!$B$42/6</f>
        <v>5000000</v>
      </c>
      <c r="C11" s="30">
        <f>Assumption!$B$42/6</f>
        <v>5000000</v>
      </c>
      <c r="D11" s="30">
        <f>Assumption!$B$42/6</f>
        <v>5000000</v>
      </c>
      <c r="E11" s="30">
        <f>Assumption!$B$42/6</f>
        <v>5000000</v>
      </c>
      <c r="F11" s="30">
        <f>Assumption!$B$42/6</f>
        <v>5000000</v>
      </c>
      <c r="G11" s="30">
        <f>Assumption!$B$42/6</f>
        <v>5000000</v>
      </c>
    </row>
    <row r="12">
      <c r="A12" s="29" t="s">
        <v>53</v>
      </c>
      <c r="B12" s="31">
        <f t="shared" ref="B12:G12" si="3">SUM(B9:B11)</f>
        <v>15010000</v>
      </c>
      <c r="C12" s="31">
        <f t="shared" si="3"/>
        <v>5000000</v>
      </c>
      <c r="D12" s="31">
        <f t="shared" si="3"/>
        <v>5000000</v>
      </c>
      <c r="E12" s="31">
        <f t="shared" si="3"/>
        <v>5000000</v>
      </c>
      <c r="F12" s="31">
        <f t="shared" si="3"/>
        <v>5000000</v>
      </c>
      <c r="G12" s="31">
        <f t="shared" si="3"/>
        <v>5000000</v>
      </c>
    </row>
    <row r="13">
      <c r="B13" s="30"/>
      <c r="C13" s="30"/>
      <c r="D13" s="30"/>
      <c r="E13" s="30"/>
      <c r="F13" s="30"/>
      <c r="G13" s="30"/>
    </row>
    <row r="14">
      <c r="A14" s="32" t="s">
        <v>54</v>
      </c>
      <c r="B14" s="30">
        <f t="shared" ref="B14:G14" si="4">B$6-B$12</f>
        <v>-8821886.768</v>
      </c>
      <c r="C14" s="30">
        <f t="shared" si="4"/>
        <v>4125235.756</v>
      </c>
      <c r="D14" s="30">
        <f t="shared" si="4"/>
        <v>6556864.26</v>
      </c>
      <c r="E14" s="30">
        <f t="shared" si="4"/>
        <v>10217238.03</v>
      </c>
      <c r="F14" s="30">
        <f t="shared" si="4"/>
        <v>14752754.17</v>
      </c>
      <c r="G14" s="30">
        <f t="shared" si="4"/>
        <v>19773271.39</v>
      </c>
      <c r="H14" s="31">
        <f>SUM(B14:G14)</f>
        <v>46603476.84</v>
      </c>
    </row>
    <row r="15">
      <c r="B15" s="34"/>
      <c r="C15" s="34"/>
      <c r="D15" s="34"/>
      <c r="E15" s="34"/>
      <c r="F15" s="34"/>
      <c r="G15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1.0"/>
    <col customWidth="1" min="3" max="3" width="16.88"/>
    <col customWidth="1" min="4" max="4" width="14.75"/>
    <col customWidth="1" min="5" max="5" width="19.75"/>
    <col customWidth="1" min="6" max="6" width="17.13"/>
    <col customWidth="1" min="7" max="7" width="20.13"/>
  </cols>
  <sheetData>
    <row r="1">
      <c r="A1" s="29" t="s">
        <v>44</v>
      </c>
      <c r="B1" s="29" t="s">
        <v>45</v>
      </c>
      <c r="C1" s="29" t="s">
        <v>46</v>
      </c>
      <c r="D1" s="29" t="s">
        <v>47</v>
      </c>
      <c r="E1" s="29" t="s">
        <v>48</v>
      </c>
      <c r="F1" s="29" t="s">
        <v>49</v>
      </c>
      <c r="G1" s="29" t="s">
        <v>50</v>
      </c>
    </row>
    <row r="2">
      <c r="A2" s="29" t="s">
        <v>55</v>
      </c>
      <c r="B2" s="35"/>
      <c r="C2" s="35"/>
      <c r="D2" s="35"/>
      <c r="E2" s="35"/>
      <c r="F2" s="35"/>
      <c r="G2" s="35"/>
    </row>
    <row r="3">
      <c r="A3" s="36"/>
      <c r="B3" s="35"/>
      <c r="C3" s="35"/>
      <c r="D3" s="35"/>
      <c r="E3" s="35"/>
      <c r="F3" s="35"/>
      <c r="G3" s="35"/>
    </row>
    <row r="4">
      <c r="A4" s="29" t="s">
        <v>56</v>
      </c>
      <c r="B4" s="35"/>
      <c r="C4" s="35"/>
      <c r="D4" s="35"/>
      <c r="E4" s="35"/>
      <c r="F4" s="35"/>
      <c r="G4" s="35"/>
    </row>
    <row r="5">
      <c r="A5" s="2" t="s">
        <v>11</v>
      </c>
      <c r="B5" s="35">
        <f>SUMIFS('Sales Quantity'!$J:$J, 'Sales Quantity'!$A:$A, Details!A$14, 'Sales Quantity'!$D:$D, $A$5)</f>
        <v>46463760</v>
      </c>
      <c r="C5" s="35">
        <f>SUMIFS('Sales Quantity'!$J:$J, 'Sales Quantity'!$A:$A, Details!B$14, 'Sales Quantity'!$D:$D, $A$5)</f>
        <v>54229420</v>
      </c>
      <c r="D5" s="35">
        <f>SUMIFS('Sales Quantity'!$J:$J, 'Sales Quantity'!$A:$A, Details!C$14, 'Sales Quantity'!$D:$D, $A$5)</f>
        <v>61464620</v>
      </c>
      <c r="E5" s="35">
        <f>SUMIFS('Sales Quantity'!$J:$J, 'Sales Quantity'!$A:$A, Details!D$14, 'Sales Quantity'!$D:$D, $A$5)</f>
        <v>70967680</v>
      </c>
      <c r="F5" s="35">
        <f>SUMIFS('Sales Quantity'!$J:$J, 'Sales Quantity'!$A:$A, Details!E$14, 'Sales Quantity'!$D:$D, $A$5)</f>
        <v>82241600</v>
      </c>
      <c r="G5" s="35">
        <f>SUMIFS('Sales Quantity'!$J:$J, 'Sales Quantity'!$A:$A, Details!F$14, 'Sales Quantity'!$D:$D, $A$5)</f>
        <v>94788540</v>
      </c>
    </row>
    <row r="6">
      <c r="A6" s="2" t="s">
        <v>12</v>
      </c>
      <c r="B6" s="35">
        <f>SUMIFS('Sales Quantity'!$J:$J, 'Sales Quantity'!$A:$A, Details!A$14, 'Sales Quantity'!$D:$D, $A$6)</f>
        <v>19270300</v>
      </c>
      <c r="C6" s="35">
        <f>SUMIFS('Sales Quantity'!$J:$J, 'Sales Quantity'!$A:$A, Details!B$14, 'Sales Quantity'!$D:$D, $A$6)</f>
        <v>21470890</v>
      </c>
      <c r="D6" s="35">
        <f>SUMIFS('Sales Quantity'!$J:$J, 'Sales Quantity'!$A:$A, Details!C$14, 'Sales Quantity'!$D:$D, $A$6)</f>
        <v>23824500</v>
      </c>
      <c r="E6" s="35">
        <f>SUMIFS('Sales Quantity'!$J:$J, 'Sales Quantity'!$A:$A, Details!D$14, 'Sales Quantity'!$D:$D, $A$6)</f>
        <v>26485760</v>
      </c>
      <c r="F6" s="35">
        <f>SUMIFS('Sales Quantity'!$J:$J, 'Sales Quantity'!$A:$A, Details!E$14, 'Sales Quantity'!$D:$D, $A$6)</f>
        <v>29410780</v>
      </c>
      <c r="G6" s="35">
        <f>SUMIFS('Sales Quantity'!$J:$J, 'Sales Quantity'!$A:$A, Details!F$14, 'Sales Quantity'!$D:$D, $A$6)</f>
        <v>32503590</v>
      </c>
    </row>
    <row r="7">
      <c r="A7" s="29" t="s">
        <v>53</v>
      </c>
      <c r="B7" s="37">
        <f t="shared" ref="B7:G7" si="1">SUM(B5:B6)</f>
        <v>65734060</v>
      </c>
      <c r="C7" s="37">
        <f t="shared" si="1"/>
        <v>75700310</v>
      </c>
      <c r="D7" s="37">
        <f t="shared" si="1"/>
        <v>85289120</v>
      </c>
      <c r="E7" s="37">
        <f t="shared" si="1"/>
        <v>97453440</v>
      </c>
      <c r="F7" s="37">
        <f t="shared" si="1"/>
        <v>111652380</v>
      </c>
      <c r="G7" s="37">
        <f t="shared" si="1"/>
        <v>127292130</v>
      </c>
    </row>
    <row r="8">
      <c r="B8" s="35"/>
      <c r="C8" s="35"/>
      <c r="D8" s="35"/>
      <c r="E8" s="35"/>
      <c r="F8" s="35"/>
      <c r="G8" s="35"/>
    </row>
    <row r="9">
      <c r="A9" s="29" t="s">
        <v>57</v>
      </c>
      <c r="B9" s="35"/>
      <c r="C9" s="35"/>
      <c r="D9" s="35"/>
      <c r="E9" s="35"/>
      <c r="F9" s="35"/>
      <c r="G9" s="35"/>
    </row>
    <row r="10">
      <c r="A10" s="36" t="str">
        <f>A5</f>
        <v>PowerSip</v>
      </c>
      <c r="B10" s="35"/>
      <c r="C10" s="35"/>
      <c r="D10" s="35"/>
      <c r="E10" s="35"/>
      <c r="F10" s="35"/>
      <c r="G10" s="35"/>
    </row>
    <row r="11">
      <c r="A11" s="2" t="s">
        <v>58</v>
      </c>
      <c r="B11" s="35">
        <f>'Cost-RM'!B$39</f>
        <v>15213562.56</v>
      </c>
      <c r="C11" s="35">
        <f>'Cost-RM'!C$39</f>
        <v>17756261.52</v>
      </c>
      <c r="D11" s="35">
        <f>'Cost-RM'!D$39</f>
        <v>20125272.72</v>
      </c>
      <c r="E11" s="35">
        <f>'Cost-RM'!E$39</f>
        <v>23236846.08</v>
      </c>
      <c r="F11" s="35">
        <f>'Cost-RM'!F$39</f>
        <v>26928249.6</v>
      </c>
      <c r="G11" s="35">
        <f>'Cost-RM'!G$39</f>
        <v>31036476.24</v>
      </c>
    </row>
    <row r="12">
      <c r="A12" s="2" t="s">
        <v>59</v>
      </c>
      <c r="B12" s="35">
        <f>Assumption!$C$29*'RM Consumed_PowerSip'!B$14</f>
        <v>995652</v>
      </c>
      <c r="C12" s="35">
        <f>Assumption!$C$29*'RM Consumed_PowerSip'!C$14</f>
        <v>1162059</v>
      </c>
      <c r="D12" s="35">
        <f>Assumption!$C$29*'RM Consumed_PowerSip'!D$14</f>
        <v>1317099</v>
      </c>
      <c r="E12" s="35">
        <f>Assumption!$C$29*'RM Consumed_PowerSip'!E$14</f>
        <v>1520736</v>
      </c>
      <c r="F12" s="35">
        <f>Assumption!$C$29*'RM Consumed_PowerSip'!F$14</f>
        <v>1762320</v>
      </c>
      <c r="G12" s="35">
        <f>Assumption!$C$29*'RM Consumed_PowerSip'!G$14</f>
        <v>2031183</v>
      </c>
    </row>
    <row r="13">
      <c r="A13" s="2" t="s">
        <v>60</v>
      </c>
      <c r="B13" s="35">
        <f>Assumption!$C$30*'RM Consumed_PowerSip'!B$14</f>
        <v>2655072</v>
      </c>
      <c r="C13" s="35">
        <f>Assumption!$C$30*'RM Consumed_PowerSip'!C$14</f>
        <v>3098824</v>
      </c>
      <c r="D13" s="35">
        <f>Assumption!$C$30*'RM Consumed_PowerSip'!D$14</f>
        <v>3512264</v>
      </c>
      <c r="E13" s="35">
        <f>Assumption!$C$30*'RM Consumed_PowerSip'!E$14</f>
        <v>4055296</v>
      </c>
      <c r="F13" s="35">
        <f>Assumption!$C$30*'RM Consumed_PowerSip'!F$14</f>
        <v>4699520</v>
      </c>
      <c r="G13" s="35">
        <f>Assumption!$C$30*'RM Consumed_PowerSip'!G$14</f>
        <v>5416488</v>
      </c>
    </row>
    <row r="14">
      <c r="A14" s="29" t="s">
        <v>53</v>
      </c>
      <c r="B14" s="37">
        <f t="shared" ref="B14:G14" si="2">SUM(B11:B13)</f>
        <v>18864286.56</v>
      </c>
      <c r="C14" s="37">
        <f t="shared" si="2"/>
        <v>22017144.52</v>
      </c>
      <c r="D14" s="37">
        <f t="shared" si="2"/>
        <v>24954635.72</v>
      </c>
      <c r="E14" s="37">
        <f t="shared" si="2"/>
        <v>28812878.08</v>
      </c>
      <c r="F14" s="37">
        <f t="shared" si="2"/>
        <v>33390089.6</v>
      </c>
      <c r="G14" s="37">
        <f t="shared" si="2"/>
        <v>38484147.24</v>
      </c>
    </row>
    <row r="15">
      <c r="B15" s="35"/>
      <c r="C15" s="35"/>
      <c r="D15" s="35"/>
      <c r="E15" s="35"/>
      <c r="F15" s="35"/>
      <c r="G15" s="35"/>
    </row>
    <row r="16">
      <c r="A16" s="36" t="str">
        <f>A6</f>
        <v>HappyGrow</v>
      </c>
      <c r="B16" s="35"/>
      <c r="C16" s="35"/>
      <c r="D16" s="35"/>
      <c r="E16" s="35"/>
      <c r="F16" s="35"/>
      <c r="G16" s="35"/>
    </row>
    <row r="17">
      <c r="A17" s="2" t="s">
        <v>58</v>
      </c>
      <c r="B17" s="35">
        <f>'Cost-RM'!B$49</f>
        <v>3883791.32</v>
      </c>
      <c r="C17" s="35">
        <f>'Cost-RM'!C$49</f>
        <v>4327304.516</v>
      </c>
      <c r="D17" s="35">
        <f>'Cost-RM'!D$49</f>
        <v>4801657.8</v>
      </c>
      <c r="E17" s="35">
        <f>'Cost-RM'!E$49</f>
        <v>5338015.744</v>
      </c>
      <c r="F17" s="35">
        <f>'Cost-RM'!F$49</f>
        <v>5927532.632</v>
      </c>
      <c r="G17" s="35">
        <f>'Cost-RM'!G$49</f>
        <v>6550866.396</v>
      </c>
    </row>
    <row r="18">
      <c r="A18" s="2" t="s">
        <v>59</v>
      </c>
      <c r="B18" s="35">
        <f>Assumption!$C$29*'RM Consumed_HappyGrow'!B$14</f>
        <v>825870</v>
      </c>
      <c r="C18" s="35">
        <f>Assumption!$C$29*'RM Consumed_HappyGrow'!C$14</f>
        <v>920181</v>
      </c>
      <c r="D18" s="35">
        <f>Assumption!$C$29*'RM Consumed_HappyGrow'!D$14</f>
        <v>1021050</v>
      </c>
      <c r="E18" s="35">
        <f>Assumption!$C$29*'RM Consumed_HappyGrow'!E$14</f>
        <v>1135104</v>
      </c>
      <c r="F18" s="35">
        <f>Assumption!$C$29*'RM Consumed_HappyGrow'!F$14</f>
        <v>1260462</v>
      </c>
      <c r="G18" s="35">
        <f>Assumption!$C$29*'RM Consumed_HappyGrow'!G$14</f>
        <v>1393011</v>
      </c>
    </row>
    <row r="19">
      <c r="A19" s="2" t="s">
        <v>60</v>
      </c>
      <c r="B19" s="35">
        <f>Assumption!$C$30*'RM Consumed_HappyGrow'!B$14</f>
        <v>2202320</v>
      </c>
      <c r="C19" s="35">
        <f>Assumption!$C$30*'RM Consumed_HappyGrow'!C$14</f>
        <v>2453816</v>
      </c>
      <c r="D19" s="35">
        <f>Assumption!$C$30*'RM Consumed_HappyGrow'!D$14</f>
        <v>2722800</v>
      </c>
      <c r="E19" s="35">
        <f>Assumption!$C$30*'RM Consumed_HappyGrow'!E$14</f>
        <v>3026944</v>
      </c>
      <c r="F19" s="35">
        <f>Assumption!$C$30*'RM Consumed_HappyGrow'!F$14</f>
        <v>3361232</v>
      </c>
      <c r="G19" s="35">
        <f>Assumption!$C$30*'RM Consumed_HappyGrow'!G$14</f>
        <v>3714696</v>
      </c>
    </row>
    <row r="20">
      <c r="A20" s="29" t="s">
        <v>53</v>
      </c>
      <c r="B20" s="37">
        <f t="shared" ref="B20:G20" si="3">SUM(B17:B19)</f>
        <v>6911981.32</v>
      </c>
      <c r="C20" s="37">
        <f t="shared" si="3"/>
        <v>7701301.516</v>
      </c>
      <c r="D20" s="37">
        <f t="shared" si="3"/>
        <v>8545507.8</v>
      </c>
      <c r="E20" s="37">
        <f t="shared" si="3"/>
        <v>9500063.744</v>
      </c>
      <c r="F20" s="37">
        <f t="shared" si="3"/>
        <v>10549226.63</v>
      </c>
      <c r="G20" s="37">
        <f t="shared" si="3"/>
        <v>11658573.4</v>
      </c>
    </row>
    <row r="21">
      <c r="B21" s="35"/>
      <c r="C21" s="35"/>
      <c r="D21" s="35"/>
      <c r="E21" s="35"/>
      <c r="F21" s="35"/>
      <c r="G21" s="35"/>
    </row>
    <row r="22">
      <c r="A22" s="29" t="s">
        <v>61</v>
      </c>
      <c r="B22" s="35"/>
      <c r="C22" s="35"/>
      <c r="D22" s="35"/>
      <c r="E22" s="35"/>
      <c r="F22" s="35"/>
      <c r="G22" s="35"/>
    </row>
    <row r="23">
      <c r="A23" s="1" t="str">
        <f t="shared" ref="A23:A24" si="5">A5</f>
        <v>PowerSip</v>
      </c>
      <c r="B23" s="35">
        <f t="shared" ref="B23:G23" si="4">B$14</f>
        <v>18864286.56</v>
      </c>
      <c r="C23" s="35">
        <f t="shared" si="4"/>
        <v>22017144.52</v>
      </c>
      <c r="D23" s="35">
        <f t="shared" si="4"/>
        <v>24954635.72</v>
      </c>
      <c r="E23" s="35">
        <f t="shared" si="4"/>
        <v>28812878.08</v>
      </c>
      <c r="F23" s="35">
        <f t="shared" si="4"/>
        <v>33390089.6</v>
      </c>
      <c r="G23" s="35">
        <f t="shared" si="4"/>
        <v>38484147.24</v>
      </c>
    </row>
    <row r="24">
      <c r="A24" s="1" t="str">
        <f t="shared" si="5"/>
        <v>HappyGrow</v>
      </c>
      <c r="B24" s="35">
        <f t="shared" ref="B24:G24" si="6">B$20</f>
        <v>6911981.32</v>
      </c>
      <c r="C24" s="35">
        <f t="shared" si="6"/>
        <v>7701301.516</v>
      </c>
      <c r="D24" s="35">
        <f t="shared" si="6"/>
        <v>8545507.8</v>
      </c>
      <c r="E24" s="35">
        <f t="shared" si="6"/>
        <v>9500063.744</v>
      </c>
      <c r="F24" s="35">
        <f t="shared" si="6"/>
        <v>10549226.63</v>
      </c>
      <c r="G24" s="35">
        <f t="shared" si="6"/>
        <v>11658573.4</v>
      </c>
    </row>
    <row r="25">
      <c r="A25" s="36" t="str">
        <f>A22</f>
        <v>Total Variable Cost</v>
      </c>
      <c r="B25" s="37">
        <f t="shared" ref="B25:G25" si="7">SUM(B23:B24)</f>
        <v>25776267.88</v>
      </c>
      <c r="C25" s="37">
        <f t="shared" si="7"/>
        <v>29718446.04</v>
      </c>
      <c r="D25" s="37">
        <f t="shared" si="7"/>
        <v>33500143.52</v>
      </c>
      <c r="E25" s="37">
        <f t="shared" si="7"/>
        <v>38312941.82</v>
      </c>
      <c r="F25" s="37">
        <f t="shared" si="7"/>
        <v>43939316.23</v>
      </c>
      <c r="G25" s="37">
        <f t="shared" si="7"/>
        <v>50142720.64</v>
      </c>
    </row>
    <row r="26">
      <c r="B26" s="35"/>
      <c r="C26" s="35"/>
      <c r="D26" s="35"/>
      <c r="E26" s="35"/>
      <c r="F26" s="35"/>
      <c r="G26" s="35"/>
    </row>
    <row r="27">
      <c r="B27" s="35"/>
      <c r="C27" s="35"/>
      <c r="D27" s="35"/>
      <c r="E27" s="35"/>
      <c r="F27" s="35"/>
      <c r="G27" s="35"/>
    </row>
    <row r="28">
      <c r="A28" s="29" t="s">
        <v>62</v>
      </c>
      <c r="B28" s="29"/>
      <c r="C28" s="35"/>
      <c r="D28" s="35"/>
      <c r="E28" s="35"/>
      <c r="F28" s="35"/>
      <c r="G28" s="35"/>
    </row>
    <row r="29">
      <c r="A29" s="1" t="str">
        <f t="shared" ref="A29:A30" si="9">A5</f>
        <v>PowerSip</v>
      </c>
      <c r="B29" s="35">
        <f t="shared" ref="B29:G29" si="8">B$5-B$23</f>
        <v>27599473.44</v>
      </c>
      <c r="C29" s="35">
        <f t="shared" si="8"/>
        <v>32212275.48</v>
      </c>
      <c r="D29" s="35">
        <f t="shared" si="8"/>
        <v>36509984.28</v>
      </c>
      <c r="E29" s="35">
        <f t="shared" si="8"/>
        <v>42154801.92</v>
      </c>
      <c r="F29" s="35">
        <f t="shared" si="8"/>
        <v>48851510.4</v>
      </c>
      <c r="G29" s="35">
        <f t="shared" si="8"/>
        <v>56304392.76</v>
      </c>
    </row>
    <row r="30">
      <c r="A30" s="1" t="str">
        <f t="shared" si="9"/>
        <v>HappyGrow</v>
      </c>
      <c r="B30" s="35">
        <f t="shared" ref="B30:G30" si="10">B$6-B$24</f>
        <v>12358318.68</v>
      </c>
      <c r="C30" s="35">
        <f t="shared" si="10"/>
        <v>13769588.48</v>
      </c>
      <c r="D30" s="35">
        <f t="shared" si="10"/>
        <v>15278992.2</v>
      </c>
      <c r="E30" s="35">
        <f t="shared" si="10"/>
        <v>16985696.26</v>
      </c>
      <c r="F30" s="35">
        <f t="shared" si="10"/>
        <v>18861553.37</v>
      </c>
      <c r="G30" s="35">
        <f t="shared" si="10"/>
        <v>20845016.6</v>
      </c>
    </row>
    <row r="31">
      <c r="A31" s="29" t="s">
        <v>63</v>
      </c>
      <c r="B31" s="37">
        <f t="shared" ref="B31:G31" si="11">SUM(B29:B30)</f>
        <v>39957792.12</v>
      </c>
      <c r="C31" s="37">
        <f t="shared" si="11"/>
        <v>45981863.96</v>
      </c>
      <c r="D31" s="37">
        <f t="shared" si="11"/>
        <v>51788976.48</v>
      </c>
      <c r="E31" s="37">
        <f t="shared" si="11"/>
        <v>59140498.18</v>
      </c>
      <c r="F31" s="37">
        <f t="shared" si="11"/>
        <v>67713063.77</v>
      </c>
      <c r="G31" s="37">
        <f t="shared" si="11"/>
        <v>77149409.36</v>
      </c>
    </row>
    <row r="33">
      <c r="A33" s="29" t="s">
        <v>64</v>
      </c>
      <c r="B33" s="38"/>
      <c r="C33" s="38"/>
      <c r="D33" s="38"/>
      <c r="E33" s="38"/>
      <c r="F33" s="38"/>
      <c r="G33" s="38"/>
    </row>
    <row r="34">
      <c r="A34" s="1" t="str">
        <f t="shared" ref="A34:A35" si="12">A5</f>
        <v>PowerSip</v>
      </c>
      <c r="B34" s="38">
        <f>Assumption!$D$3-('Cost-RM'!B$52+Assumption!$C$29+Assumption!$C$30)</f>
        <v>83.16</v>
      </c>
      <c r="C34" s="38">
        <f>Assumption!$D$3-('Cost-RM'!C$52+Assumption!$C$29+Assumption!$C$30)</f>
        <v>83.16</v>
      </c>
      <c r="D34" s="38">
        <f>Assumption!$D$3-('Cost-RM'!D$52+Assumption!$C$29+Assumption!$C$30)</f>
        <v>83.16</v>
      </c>
      <c r="E34" s="38">
        <f>Assumption!$D$3-('Cost-RM'!E$52+Assumption!$C$29+Assumption!$C$30)</f>
        <v>83.16</v>
      </c>
      <c r="F34" s="38">
        <f>Assumption!$D$3-('Cost-RM'!F$52+Assumption!$C$29+Assumption!$C$30)</f>
        <v>83.16</v>
      </c>
      <c r="G34" s="38">
        <f>Assumption!$D$3-('Cost-RM'!G$52+Assumption!$C$29+Assumption!$C$30)</f>
        <v>83.16</v>
      </c>
    </row>
    <row r="35">
      <c r="A35" s="1" t="str">
        <f t="shared" si="12"/>
        <v>HappyGrow</v>
      </c>
      <c r="B35" s="38">
        <f>Assumption!$D$4-('Cost-RM'!B$53+Assumption!$C$29+Assumption!$C$30)</f>
        <v>44.892</v>
      </c>
      <c r="C35" s="38">
        <f>Assumption!$D$4-('Cost-RM'!C$53+Assumption!$C$29+Assumption!$C$30)</f>
        <v>44.892</v>
      </c>
      <c r="D35" s="38">
        <f>Assumption!$D$4-('Cost-RM'!D$53+Assumption!$C$29+Assumption!$C$30)</f>
        <v>44.892</v>
      </c>
      <c r="E35" s="38">
        <f>Assumption!$D$4-('Cost-RM'!E$53+Assumption!$C$29+Assumption!$C$30)</f>
        <v>44.892</v>
      </c>
      <c r="F35" s="38">
        <f>Assumption!$D$4-('Cost-RM'!F$53+Assumption!$C$29+Assumption!$C$30)</f>
        <v>44.892</v>
      </c>
      <c r="G35" s="38">
        <f>Assumption!$D$4-('Cost-RM'!G$53+Assumption!$C$29+Assumption!$C$30)</f>
        <v>44.892</v>
      </c>
    </row>
    <row r="36">
      <c r="A36" s="29" t="s">
        <v>53</v>
      </c>
      <c r="B36" s="34">
        <f t="shared" ref="B36:G36" si="13">SUM(B34:B35)</f>
        <v>128.052</v>
      </c>
      <c r="C36" s="34">
        <f t="shared" si="13"/>
        <v>128.052</v>
      </c>
      <c r="D36" s="34">
        <f t="shared" si="13"/>
        <v>128.052</v>
      </c>
      <c r="E36" s="34">
        <f t="shared" si="13"/>
        <v>128.052</v>
      </c>
      <c r="F36" s="34">
        <f t="shared" si="13"/>
        <v>128.052</v>
      </c>
      <c r="G36" s="34">
        <f t="shared" si="13"/>
        <v>128.052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1.0"/>
    <col customWidth="1" min="3" max="3" width="16.88"/>
    <col customWidth="1" min="4" max="5" width="18.25"/>
    <col customWidth="1" min="6" max="6" width="18.88"/>
    <col customWidth="1" min="7" max="7" width="17.88"/>
  </cols>
  <sheetData>
    <row r="1">
      <c r="A1" s="29" t="s">
        <v>44</v>
      </c>
      <c r="B1" s="29" t="s">
        <v>45</v>
      </c>
      <c r="C1" s="29" t="s">
        <v>46</v>
      </c>
      <c r="D1" s="29" t="s">
        <v>47</v>
      </c>
      <c r="E1" s="29" t="s">
        <v>48</v>
      </c>
      <c r="F1" s="29" t="s">
        <v>49</v>
      </c>
      <c r="G1" s="29" t="s">
        <v>50</v>
      </c>
    </row>
    <row r="2">
      <c r="A2" s="29" t="s">
        <v>65</v>
      </c>
      <c r="B2" s="35"/>
      <c r="C2" s="35"/>
      <c r="D2" s="35"/>
      <c r="E2" s="35"/>
      <c r="F2" s="35"/>
      <c r="G2" s="35"/>
    </row>
    <row r="3">
      <c r="A3" s="36"/>
      <c r="B3" s="35"/>
      <c r="C3" s="35"/>
      <c r="D3" s="35"/>
      <c r="E3" s="35"/>
      <c r="F3" s="35"/>
      <c r="G3" s="35"/>
    </row>
    <row r="4">
      <c r="A4" s="29" t="s">
        <v>56</v>
      </c>
      <c r="B4" s="35"/>
      <c r="C4" s="35"/>
      <c r="D4" s="35"/>
      <c r="E4" s="35"/>
      <c r="F4" s="35"/>
      <c r="G4" s="35"/>
    </row>
    <row r="5">
      <c r="A5" s="2" t="s">
        <v>11</v>
      </c>
      <c r="B5" s="35">
        <f>SUMIFS('Sales Quantity'!$I:$I, 'Sales Quantity'!$A:$A, Details!A$14, 'Sales Quantity'!$D:$D, $A$5)</f>
        <v>41098860</v>
      </c>
      <c r="C5" s="35">
        <f>SUMIFS('Sales Quantity'!$I:$I, 'Sales Quantity'!$A:$A, Details!B$14, 'Sales Quantity'!$D:$D, $A$5)</f>
        <v>45208935</v>
      </c>
      <c r="D5" s="35">
        <f>SUMIFS('Sales Quantity'!$I:$I, 'Sales Quantity'!$A:$A, Details!C$14, 'Sales Quantity'!$D:$D, $A$5)</f>
        <v>49730220</v>
      </c>
      <c r="E5" s="35">
        <f>SUMIFS('Sales Quantity'!$I:$I, 'Sales Quantity'!$A:$A, Details!D$14, 'Sales Quantity'!$D:$D, $A$5)</f>
        <v>54703350</v>
      </c>
      <c r="F5" s="35">
        <f>SUMIFS('Sales Quantity'!$I:$I, 'Sales Quantity'!$A:$A, Details!E$14, 'Sales Quantity'!$D:$D, $A$5)</f>
        <v>60173955</v>
      </c>
      <c r="G5" s="35">
        <f>SUMIFS('Sales Quantity'!$I:$I, 'Sales Quantity'!$A:$A, Details!F$14, 'Sales Quantity'!$D:$D, $A$5)</f>
        <v>66191310</v>
      </c>
    </row>
    <row r="6">
      <c r="A6" s="2" t="s">
        <v>12</v>
      </c>
      <c r="B6" s="35">
        <f>SUMIFS('Sales Quantity'!$I:$I, 'Sales Quantity'!$A:$A, Details!A$14, 'Sales Quantity'!$D:$D, $A$6)</f>
        <v>16166040</v>
      </c>
      <c r="C6" s="35">
        <f>SUMIFS('Sales Quantity'!$I:$I, 'Sales Quantity'!$A:$A, Details!B$14, 'Sales Quantity'!$D:$D, $A$6)</f>
        <v>17297640</v>
      </c>
      <c r="D6" s="35">
        <f>SUMIFS('Sales Quantity'!$I:$I, 'Sales Quantity'!$A:$A, Details!C$14, 'Sales Quantity'!$D:$D, $A$6)</f>
        <v>18508500</v>
      </c>
      <c r="E6" s="35">
        <f>SUMIFS('Sales Quantity'!$I:$I, 'Sales Quantity'!$A:$A, Details!D$14, 'Sales Quantity'!$D:$D, $A$6)</f>
        <v>19804140</v>
      </c>
      <c r="F6" s="35">
        <f>SUMIFS('Sales Quantity'!$I:$I, 'Sales Quantity'!$A:$A, Details!E$14, 'Sales Quantity'!$D:$D, $A$6)</f>
        <v>21190380</v>
      </c>
      <c r="G6" s="35">
        <f>SUMIFS('Sales Quantity'!$I:$I, 'Sales Quantity'!$A:$A, Details!F$14, 'Sales Quantity'!$D:$D, $A$6)</f>
        <v>22673880</v>
      </c>
    </row>
    <row r="7">
      <c r="A7" s="29" t="s">
        <v>53</v>
      </c>
      <c r="B7" s="37">
        <f t="shared" ref="B7:G7" si="1">SUM(B5:B6)</f>
        <v>57264900</v>
      </c>
      <c r="C7" s="37">
        <f t="shared" si="1"/>
        <v>62506575</v>
      </c>
      <c r="D7" s="37">
        <f t="shared" si="1"/>
        <v>68238720</v>
      </c>
      <c r="E7" s="37">
        <f t="shared" si="1"/>
        <v>74507490</v>
      </c>
      <c r="F7" s="37">
        <f t="shared" si="1"/>
        <v>81364335</v>
      </c>
      <c r="G7" s="37">
        <f t="shared" si="1"/>
        <v>88865190</v>
      </c>
    </row>
    <row r="8">
      <c r="B8" s="35"/>
      <c r="C8" s="35"/>
      <c r="D8" s="35"/>
      <c r="E8" s="35"/>
      <c r="F8" s="35"/>
      <c r="G8" s="35"/>
    </row>
    <row r="9">
      <c r="A9" s="29" t="s">
        <v>57</v>
      </c>
      <c r="B9" s="35"/>
      <c r="C9" s="35"/>
      <c r="D9" s="35"/>
      <c r="E9" s="35"/>
      <c r="F9" s="35"/>
      <c r="G9" s="35"/>
    </row>
    <row r="10">
      <c r="A10" s="36" t="str">
        <f>A5</f>
        <v>PowerSip</v>
      </c>
      <c r="B10" s="35"/>
      <c r="C10" s="35"/>
      <c r="D10" s="35"/>
      <c r="E10" s="35"/>
      <c r="F10" s="35"/>
      <c r="G10" s="35"/>
    </row>
    <row r="11">
      <c r="A11" s="2" t="s">
        <v>58</v>
      </c>
      <c r="B11" s="35">
        <f>'Cost-RM'!B$12</f>
        <v>13955346.24</v>
      </c>
      <c r="C11" s="35">
        <f>'Cost-RM'!C$12</f>
        <v>15350945.04</v>
      </c>
      <c r="D11" s="35">
        <f>'Cost-RM'!D$12</f>
        <v>16886172.48</v>
      </c>
      <c r="E11" s="35">
        <f>'Cost-RM'!E$12</f>
        <v>18574826.4</v>
      </c>
      <c r="F11" s="35">
        <f>'Cost-RM'!F$12</f>
        <v>20432400.72</v>
      </c>
      <c r="G11" s="35">
        <f>'Cost-RM'!G$12</f>
        <v>22475627.04</v>
      </c>
    </row>
    <row r="12">
      <c r="A12" s="2" t="s">
        <v>59</v>
      </c>
      <c r="B12" s="35">
        <f>Assumption!$B$29*'RM Consumed_PowerSip'!B$13</f>
        <v>608872</v>
      </c>
      <c r="C12" s="35">
        <f>Assumption!$B$29*'RM Consumed_PowerSip'!C$13</f>
        <v>669762</v>
      </c>
      <c r="D12" s="35">
        <f>Assumption!$B$29*'RM Consumed_PowerSip'!D$13</f>
        <v>736744</v>
      </c>
      <c r="E12" s="35">
        <f>Assumption!$B$29*'RM Consumed_PowerSip'!E$13</f>
        <v>810420</v>
      </c>
      <c r="F12" s="35">
        <f>Assumption!$B$29*'RM Consumed_PowerSip'!F$13</f>
        <v>891466</v>
      </c>
      <c r="G12" s="35">
        <f>Assumption!$B$29*'RM Consumed_PowerSip'!G$13</f>
        <v>980612</v>
      </c>
    </row>
    <row r="13">
      <c r="A13" s="2" t="s">
        <v>60</v>
      </c>
      <c r="B13" s="35">
        <f>Assumption!$B$30*'RM Consumed_PowerSip'!B$13</f>
        <v>2435488</v>
      </c>
      <c r="C13" s="35">
        <f>Assumption!$B$30*'RM Consumed_PowerSip'!C$13</f>
        <v>2679048</v>
      </c>
      <c r="D13" s="35">
        <f>Assumption!$B$30*'RM Consumed_PowerSip'!D$13</f>
        <v>2946976</v>
      </c>
      <c r="E13" s="35">
        <f>Assumption!$B$30*'RM Consumed_PowerSip'!E$13</f>
        <v>3241680</v>
      </c>
      <c r="F13" s="35">
        <f>Assumption!$B$30*'RM Consumed_PowerSip'!F$13</f>
        <v>3565864</v>
      </c>
      <c r="G13" s="35">
        <f>Assumption!$B$30*'RM Consumed_PowerSip'!G$13</f>
        <v>3922448</v>
      </c>
    </row>
    <row r="14">
      <c r="A14" s="29" t="s">
        <v>53</v>
      </c>
      <c r="B14" s="37">
        <f t="shared" ref="B14:G14" si="2">SUM(B11:B13)</f>
        <v>16999706.24</v>
      </c>
      <c r="C14" s="37">
        <f t="shared" si="2"/>
        <v>18699755.04</v>
      </c>
      <c r="D14" s="37">
        <f t="shared" si="2"/>
        <v>20569892.48</v>
      </c>
      <c r="E14" s="37">
        <f t="shared" si="2"/>
        <v>22626926.4</v>
      </c>
      <c r="F14" s="37">
        <f t="shared" si="2"/>
        <v>24889730.72</v>
      </c>
      <c r="G14" s="37">
        <f t="shared" si="2"/>
        <v>27378687.04</v>
      </c>
    </row>
    <row r="15">
      <c r="B15" s="35"/>
      <c r="C15" s="35"/>
      <c r="D15" s="35"/>
      <c r="E15" s="35"/>
      <c r="F15" s="35"/>
      <c r="G15" s="35"/>
    </row>
    <row r="16">
      <c r="A16" s="36" t="str">
        <f>A6</f>
        <v>HappyGrow</v>
      </c>
      <c r="B16" s="35"/>
      <c r="C16" s="35"/>
      <c r="D16" s="35"/>
      <c r="E16" s="35"/>
      <c r="F16" s="35"/>
      <c r="G16" s="35"/>
    </row>
    <row r="17">
      <c r="A17" s="2" t="s">
        <v>58</v>
      </c>
      <c r="B17" s="35">
        <f>'Cost-RM'!B$22</f>
        <v>3801174.872</v>
      </c>
      <c r="C17" s="35">
        <f>'Cost-RM'!C$22</f>
        <v>4067251.752</v>
      </c>
      <c r="D17" s="35">
        <f>'Cost-RM'!D$22</f>
        <v>4351965.3</v>
      </c>
      <c r="E17" s="35">
        <f>'Cost-RM'!E$22</f>
        <v>4656613.452</v>
      </c>
      <c r="F17" s="35">
        <f>'Cost-RM'!F$22</f>
        <v>4982564.684</v>
      </c>
      <c r="G17" s="35">
        <f>'Cost-RM'!G$22</f>
        <v>5331384.984</v>
      </c>
    </row>
    <row r="18">
      <c r="A18" s="2" t="s">
        <v>59</v>
      </c>
      <c r="B18" s="35">
        <f>Assumption!$B$29*'RM Consumed_HappyGrow'!B$13</f>
        <v>538868</v>
      </c>
      <c r="C18" s="35">
        <f>Assumption!$B$29*'RM Consumed_HappyGrow'!C$13</f>
        <v>576588</v>
      </c>
      <c r="D18" s="35">
        <f>Assumption!$B$29*'RM Consumed_HappyGrow'!D$13</f>
        <v>616950</v>
      </c>
      <c r="E18" s="35">
        <f>Assumption!$B$29*'RM Consumed_HappyGrow'!E$13</f>
        <v>660138</v>
      </c>
      <c r="F18" s="35">
        <f>Assumption!$B$29*'RM Consumed_HappyGrow'!F$13</f>
        <v>706346</v>
      </c>
      <c r="G18" s="35">
        <f>Assumption!$B$29*'RM Consumed_HappyGrow'!G$13</f>
        <v>755796</v>
      </c>
    </row>
    <row r="19">
      <c r="A19" s="2" t="s">
        <v>60</v>
      </c>
      <c r="B19" s="35">
        <f>Assumption!$B$30*'RM Consumed_HappyGrow'!B$13</f>
        <v>2155472</v>
      </c>
      <c r="C19" s="35">
        <f>Assumption!$B$30*'RM Consumed_HappyGrow'!C$13</f>
        <v>2306352</v>
      </c>
      <c r="D19" s="35">
        <f>Assumption!$B$30*'RM Consumed_HappyGrow'!D$13</f>
        <v>2467800</v>
      </c>
      <c r="E19" s="35">
        <f>Assumption!$B$30*'RM Consumed_HappyGrow'!E$13</f>
        <v>2640552</v>
      </c>
      <c r="F19" s="35">
        <f>Assumption!$B$30*'RM Consumed_HappyGrow'!F$13</f>
        <v>2825384</v>
      </c>
      <c r="G19" s="35">
        <f>Assumption!$B$30*'RM Consumed_HappyGrow'!G$13</f>
        <v>3023184</v>
      </c>
    </row>
    <row r="20">
      <c r="A20" s="29" t="s">
        <v>53</v>
      </c>
      <c r="B20" s="37">
        <f t="shared" ref="B20:G20" si="3">SUM(B17:B19)</f>
        <v>6495514.872</v>
      </c>
      <c r="C20" s="37">
        <f t="shared" si="3"/>
        <v>6950191.752</v>
      </c>
      <c r="D20" s="37">
        <f t="shared" si="3"/>
        <v>7436715.3</v>
      </c>
      <c r="E20" s="37">
        <f t="shared" si="3"/>
        <v>7957303.452</v>
      </c>
      <c r="F20" s="37">
        <f t="shared" si="3"/>
        <v>8514294.684</v>
      </c>
      <c r="G20" s="37">
        <f t="shared" si="3"/>
        <v>9110364.984</v>
      </c>
    </row>
    <row r="21">
      <c r="B21" s="35"/>
      <c r="C21" s="35"/>
      <c r="D21" s="35"/>
      <c r="E21" s="35"/>
      <c r="F21" s="35"/>
      <c r="G21" s="35"/>
    </row>
    <row r="22">
      <c r="A22" s="29" t="s">
        <v>61</v>
      </c>
      <c r="B22" s="35"/>
      <c r="C22" s="35"/>
      <c r="D22" s="35"/>
      <c r="E22" s="35"/>
      <c r="F22" s="35"/>
      <c r="G22" s="35"/>
    </row>
    <row r="23">
      <c r="A23" s="1" t="str">
        <f t="shared" ref="A23:A24" si="5">A5</f>
        <v>PowerSip</v>
      </c>
      <c r="B23" s="35">
        <f t="shared" ref="B23:G23" si="4">B$14</f>
        <v>16999706.24</v>
      </c>
      <c r="C23" s="35">
        <f t="shared" si="4"/>
        <v>18699755.04</v>
      </c>
      <c r="D23" s="35">
        <f t="shared" si="4"/>
        <v>20569892.48</v>
      </c>
      <c r="E23" s="35">
        <f t="shared" si="4"/>
        <v>22626926.4</v>
      </c>
      <c r="F23" s="35">
        <f t="shared" si="4"/>
        <v>24889730.72</v>
      </c>
      <c r="G23" s="35">
        <f t="shared" si="4"/>
        <v>27378687.04</v>
      </c>
    </row>
    <row r="24">
      <c r="A24" s="1" t="str">
        <f t="shared" si="5"/>
        <v>HappyGrow</v>
      </c>
      <c r="B24" s="35">
        <f t="shared" ref="B24:G24" si="6">B$20</f>
        <v>6495514.872</v>
      </c>
      <c r="C24" s="35">
        <f t="shared" si="6"/>
        <v>6950191.752</v>
      </c>
      <c r="D24" s="35">
        <f t="shared" si="6"/>
        <v>7436715.3</v>
      </c>
      <c r="E24" s="35">
        <f t="shared" si="6"/>
        <v>7957303.452</v>
      </c>
      <c r="F24" s="35">
        <f t="shared" si="6"/>
        <v>8514294.684</v>
      </c>
      <c r="G24" s="35">
        <f t="shared" si="6"/>
        <v>9110364.984</v>
      </c>
    </row>
    <row r="25">
      <c r="A25" s="36" t="str">
        <f>A22</f>
        <v>Total Variable Cost</v>
      </c>
      <c r="B25" s="37">
        <f t="shared" ref="B25:G25" si="7">SUM(B23:B24)</f>
        <v>23495221.11</v>
      </c>
      <c r="C25" s="37">
        <f t="shared" si="7"/>
        <v>25649946.79</v>
      </c>
      <c r="D25" s="37">
        <f t="shared" si="7"/>
        <v>28006607.78</v>
      </c>
      <c r="E25" s="37">
        <f t="shared" si="7"/>
        <v>30584229.85</v>
      </c>
      <c r="F25" s="37">
        <f t="shared" si="7"/>
        <v>33404025.4</v>
      </c>
      <c r="G25" s="37">
        <f t="shared" si="7"/>
        <v>36489052.02</v>
      </c>
    </row>
    <row r="26">
      <c r="B26" s="35"/>
      <c r="C26" s="35"/>
      <c r="D26" s="35"/>
      <c r="E26" s="35"/>
      <c r="F26" s="35"/>
      <c r="G26" s="35"/>
    </row>
    <row r="27">
      <c r="B27" s="35"/>
      <c r="C27" s="35"/>
      <c r="D27" s="35"/>
      <c r="E27" s="35"/>
      <c r="F27" s="35"/>
      <c r="G27" s="35"/>
    </row>
    <row r="28">
      <c r="A28" s="29" t="s">
        <v>62</v>
      </c>
      <c r="B28" s="29"/>
      <c r="C28" s="35"/>
      <c r="D28" s="35"/>
      <c r="E28" s="35"/>
      <c r="F28" s="35"/>
      <c r="G28" s="35"/>
    </row>
    <row r="29">
      <c r="A29" s="1" t="str">
        <f t="shared" ref="A29:A30" si="9">A5</f>
        <v>PowerSip</v>
      </c>
      <c r="B29" s="35">
        <f t="shared" ref="B29:G29" si="8">B$5-B$23</f>
        <v>24099153.76</v>
      </c>
      <c r="C29" s="35">
        <f t="shared" si="8"/>
        <v>26509179.96</v>
      </c>
      <c r="D29" s="35">
        <f t="shared" si="8"/>
        <v>29160327.52</v>
      </c>
      <c r="E29" s="35">
        <f t="shared" si="8"/>
        <v>32076423.6</v>
      </c>
      <c r="F29" s="35">
        <f t="shared" si="8"/>
        <v>35284224.28</v>
      </c>
      <c r="G29" s="35">
        <f t="shared" si="8"/>
        <v>38812622.96</v>
      </c>
    </row>
    <row r="30">
      <c r="A30" s="1" t="str">
        <f t="shared" si="9"/>
        <v>HappyGrow</v>
      </c>
      <c r="B30" s="35">
        <f t="shared" ref="B30:G30" si="10">B$6-B$24</f>
        <v>9670525.128</v>
      </c>
      <c r="C30" s="35">
        <f t="shared" si="10"/>
        <v>10347448.25</v>
      </c>
      <c r="D30" s="35">
        <f t="shared" si="10"/>
        <v>11071784.7</v>
      </c>
      <c r="E30" s="35">
        <f t="shared" si="10"/>
        <v>11846836.55</v>
      </c>
      <c r="F30" s="35">
        <f t="shared" si="10"/>
        <v>12676085.32</v>
      </c>
      <c r="G30" s="35">
        <f t="shared" si="10"/>
        <v>13563515.02</v>
      </c>
    </row>
    <row r="31">
      <c r="A31" s="29" t="s">
        <v>53</v>
      </c>
      <c r="B31" s="37">
        <f t="shared" ref="B31:G31" si="11">SUM(B29:B30)</f>
        <v>33769678.89</v>
      </c>
      <c r="C31" s="37">
        <f t="shared" si="11"/>
        <v>36856628.21</v>
      </c>
      <c r="D31" s="37">
        <f t="shared" si="11"/>
        <v>40232112.22</v>
      </c>
      <c r="E31" s="37">
        <f t="shared" si="11"/>
        <v>43923260.15</v>
      </c>
      <c r="F31" s="37">
        <f t="shared" si="11"/>
        <v>47960309.6</v>
      </c>
      <c r="G31" s="37">
        <f t="shared" si="11"/>
        <v>52376137.98</v>
      </c>
    </row>
    <row r="33">
      <c r="A33" s="29" t="s">
        <v>64</v>
      </c>
      <c r="B33" s="38"/>
      <c r="C33" s="38"/>
      <c r="D33" s="38"/>
      <c r="E33" s="38"/>
      <c r="F33" s="38"/>
      <c r="G33" s="38"/>
    </row>
    <row r="34">
      <c r="A34" s="1" t="str">
        <f t="shared" ref="A34:A35" si="12">A5</f>
        <v>PowerSip</v>
      </c>
      <c r="B34" s="38">
        <f>Assumption!$C$3-('Cost-RM'!B$52+Assumption!$B$29+Assumption!$B$30)</f>
        <v>79.16</v>
      </c>
      <c r="C34" s="38">
        <f>Assumption!$C$3-('Cost-RM'!C$52+Assumption!$B$29+Assumption!$B$30)</f>
        <v>79.16</v>
      </c>
      <c r="D34" s="38">
        <f>Assumption!$C$3-('Cost-RM'!D$52+Assumption!$B$29+Assumption!$B$30)</f>
        <v>79.16</v>
      </c>
      <c r="E34" s="38">
        <f>Assumption!$C$3-('Cost-RM'!E$52+Assumption!$B$29+Assumption!$B$30)</f>
        <v>79.16</v>
      </c>
      <c r="F34" s="38">
        <f>Assumption!$C$3-('Cost-RM'!F$52+Assumption!$B$29+Assumption!$B$30)</f>
        <v>79.16</v>
      </c>
      <c r="G34" s="38">
        <f>Assumption!$C$3-('Cost-RM'!G$52+Assumption!$B$29+Assumption!$B$30)</f>
        <v>79.16</v>
      </c>
    </row>
    <row r="35">
      <c r="A35" s="1" t="str">
        <f t="shared" si="12"/>
        <v>HappyGrow</v>
      </c>
      <c r="B35" s="38">
        <f>Assumption!$C$4-('Cost-RM'!B$53+Assumption!$B$29+Assumption!$B$30)</f>
        <v>35.892</v>
      </c>
      <c r="C35" s="38">
        <f>Assumption!$C$4-('Cost-RM'!C$53+Assumption!$B$29+Assumption!$B$30)</f>
        <v>35.892</v>
      </c>
      <c r="D35" s="38">
        <f>Assumption!$C$4-('Cost-RM'!D$53+Assumption!$B$29+Assumption!$B$30)</f>
        <v>35.892</v>
      </c>
      <c r="E35" s="38">
        <f>Assumption!$C$4-('Cost-RM'!E$53+Assumption!$B$29+Assumption!$B$30)</f>
        <v>35.892</v>
      </c>
      <c r="F35" s="38">
        <f>Assumption!$C$4-('Cost-RM'!F$53+Assumption!$B$29+Assumption!$B$30)</f>
        <v>35.892</v>
      </c>
      <c r="G35" s="38">
        <f>Assumption!$C$4-('Cost-RM'!G$53+Assumption!$B$29+Assumption!$B$30)</f>
        <v>35.892</v>
      </c>
    </row>
    <row r="36">
      <c r="A36" s="29" t="s">
        <v>53</v>
      </c>
      <c r="B36" s="34">
        <f t="shared" ref="B36:G36" si="13">SUM(B34:B35)</f>
        <v>115.052</v>
      </c>
      <c r="C36" s="34">
        <f t="shared" si="13"/>
        <v>115.052</v>
      </c>
      <c r="D36" s="34">
        <f t="shared" si="13"/>
        <v>115.052</v>
      </c>
      <c r="E36" s="34">
        <f t="shared" si="13"/>
        <v>115.052</v>
      </c>
      <c r="F36" s="34">
        <f t="shared" si="13"/>
        <v>115.052</v>
      </c>
      <c r="G36" s="34">
        <f t="shared" si="13"/>
        <v>115.052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4.0"/>
    <col customWidth="1" min="3" max="3" width="21.0"/>
    <col customWidth="1" min="4" max="4" width="20.38"/>
    <col customWidth="1" min="5" max="5" width="21.38"/>
    <col customWidth="1" min="6" max="6" width="18.13"/>
    <col customWidth="1" min="7" max="7" width="23.0"/>
  </cols>
  <sheetData>
    <row r="1">
      <c r="A1" s="39" t="s">
        <v>66</v>
      </c>
      <c r="B1" s="40" t="str">
        <f>Details!A15</f>
        <v>January</v>
      </c>
      <c r="C1" s="40" t="str">
        <f>Details!B15</f>
        <v>February</v>
      </c>
      <c r="D1" s="40" t="str">
        <f>Details!C15</f>
        <v>March</v>
      </c>
      <c r="E1" s="40" t="str">
        <f>Details!D15</f>
        <v>April</v>
      </c>
      <c r="F1" s="40" t="str">
        <f>Details!E15</f>
        <v>May</v>
      </c>
      <c r="G1" s="40" t="str">
        <f>Details!F15</f>
        <v>June</v>
      </c>
    </row>
    <row r="2">
      <c r="A2" s="41" t="s">
        <v>65</v>
      </c>
      <c r="B2" s="40"/>
      <c r="C2" s="40"/>
      <c r="D2" s="40"/>
      <c r="E2" s="40"/>
      <c r="F2" s="40"/>
      <c r="G2" s="40"/>
    </row>
    <row r="3">
      <c r="A3" s="41"/>
      <c r="B3" s="40"/>
      <c r="C3" s="40"/>
      <c r="D3" s="40"/>
      <c r="E3" s="40"/>
      <c r="F3" s="40"/>
      <c r="G3" s="40"/>
    </row>
    <row r="4">
      <c r="A4" s="42" t="str">
        <f>Assumption!A8</f>
        <v>PowerSip</v>
      </c>
      <c r="B4" s="40"/>
      <c r="C4" s="40"/>
      <c r="D4" s="40"/>
      <c r="E4" s="40"/>
      <c r="F4" s="40"/>
      <c r="G4" s="40"/>
    </row>
    <row r="5">
      <c r="A5" s="40" t="str">
        <f>Assumption!A10</f>
        <v>Water</v>
      </c>
      <c r="B5" s="43">
        <f>(Assumption!$C10 * Assumption!$B$3 *'RM Consumed_PowerSip'!B$13)*Assumption!$B10/1000
</f>
        <v>255726.24</v>
      </c>
      <c r="C5" s="43">
        <f>(Assumption!$C10 * Assumption!$B$3 *'RM Consumed_PowerSip'!C$13)*Assumption!$B10/1000
</f>
        <v>281300.04</v>
      </c>
      <c r="D5" s="43">
        <f>(Assumption!$C10 * Assumption!$B$3 *'RM Consumed_PowerSip'!D$13)*Assumption!$B10/1000
</f>
        <v>309432.48</v>
      </c>
      <c r="E5" s="43">
        <f>(Assumption!$C10 * Assumption!$B$3 *'RM Consumed_PowerSip'!E$13)*Assumption!$B10/1000
</f>
        <v>340376.4</v>
      </c>
      <c r="F5" s="43">
        <f>(Assumption!$C10 * Assumption!$B$3 *'RM Consumed_PowerSip'!F$13)*Assumption!$B10/1000
</f>
        <v>374415.72</v>
      </c>
      <c r="G5" s="43">
        <f>(Assumption!$C10 * Assumption!$B$3 *'RM Consumed_PowerSip'!G$13)*Assumption!$B10/1000
</f>
        <v>411857.04</v>
      </c>
    </row>
    <row r="6">
      <c r="A6" s="40" t="str">
        <f>Assumption!A11</f>
        <v>Milk</v>
      </c>
      <c r="B6" s="43">
        <f>(Assumption!$C11 * Assumption!$B$3 *'RM Consumed_PowerSip'!B$13)*Assumption!$B11/1000
</f>
        <v>1598289</v>
      </c>
      <c r="C6" s="43">
        <f>(Assumption!$C11 * Assumption!$B$3 *'RM Consumed_PowerSip'!C$13)*Assumption!$B11/1000
</f>
        <v>1758125.25</v>
      </c>
      <c r="D6" s="43">
        <f>(Assumption!$C11 * Assumption!$B$3 *'RM Consumed_PowerSip'!D$13)*Assumption!$B11/1000
</f>
        <v>1933953</v>
      </c>
      <c r="E6" s="43">
        <f>(Assumption!$C11 * Assumption!$B$3 *'RM Consumed_PowerSip'!E$13)*Assumption!$B11/1000
</f>
        <v>2127352.5</v>
      </c>
      <c r="F6" s="43">
        <f>(Assumption!$C11 * Assumption!$B$3 *'RM Consumed_PowerSip'!F$13)*Assumption!$B11/1000
</f>
        <v>2340098.25</v>
      </c>
      <c r="G6" s="43">
        <f>(Assumption!$C11 * Assumption!$B$3 *'RM Consumed_PowerSip'!G$13)*Assumption!$B11/1000
</f>
        <v>2574106.5</v>
      </c>
    </row>
    <row r="7">
      <c r="A7" s="40" t="str">
        <f>Assumption!A12</f>
        <v>Pea Protein Extract</v>
      </c>
      <c r="B7" s="43">
        <f>(Assumption!$C12 * Assumption!$B$3 *'RM Consumed_PowerSip'!B$13)*Assumption!$B12/1000
</f>
        <v>3653232</v>
      </c>
      <c r="C7" s="43">
        <f>(Assumption!$C12 * Assumption!$B$3 *'RM Consumed_PowerSip'!C$13)*Assumption!$B12/1000
</f>
        <v>4018572</v>
      </c>
      <c r="D7" s="43">
        <f>(Assumption!$C12 * Assumption!$B$3 *'RM Consumed_PowerSip'!D$13)*Assumption!$B12/1000
</f>
        <v>4420464</v>
      </c>
      <c r="E7" s="43">
        <f>(Assumption!$C12 * Assumption!$B$3 *'RM Consumed_PowerSip'!E$13)*Assumption!$B12/1000
</f>
        <v>4862520</v>
      </c>
      <c r="F7" s="43">
        <f>(Assumption!$C12 * Assumption!$B$3 *'RM Consumed_PowerSip'!F$13)*Assumption!$B12/1000
</f>
        <v>5348796</v>
      </c>
      <c r="G7" s="43">
        <f>(Assumption!$C12 * Assumption!$B$3 *'RM Consumed_PowerSip'!G$13)*Assumption!$B12/1000
</f>
        <v>5883672</v>
      </c>
    </row>
    <row r="8">
      <c r="A8" s="40" t="str">
        <f>Assumption!A13</f>
        <v>Coffee Bean Extract</v>
      </c>
      <c r="B8" s="43">
        <f>(Assumption!$C13 * Assumption!$B$3 *'RM Consumed_PowerSip'!B$13)*Assumption!$B13/1000
</f>
        <v>2739924</v>
      </c>
      <c r="C8" s="43">
        <f>(Assumption!$C13 * Assumption!$B$3 *'RM Consumed_PowerSip'!C$13)*Assumption!$B13/1000
</f>
        <v>3013929</v>
      </c>
      <c r="D8" s="43">
        <f>(Assumption!$C13 * Assumption!$B$3 *'RM Consumed_PowerSip'!D$13)*Assumption!$B13/1000
</f>
        <v>3315348</v>
      </c>
      <c r="E8" s="43">
        <f>(Assumption!$C13 * Assumption!$B$3 *'RM Consumed_PowerSip'!E$13)*Assumption!$B13/1000
</f>
        <v>3646890</v>
      </c>
      <c r="F8" s="43">
        <f>(Assumption!$C13 * Assumption!$B$3 *'RM Consumed_PowerSip'!F$13)*Assumption!$B13/1000
</f>
        <v>4011597</v>
      </c>
      <c r="G8" s="43">
        <f>(Assumption!$C13 * Assumption!$B$3 *'RM Consumed_PowerSip'!G$13)*Assumption!$B13/1000
</f>
        <v>4412754</v>
      </c>
    </row>
    <row r="9">
      <c r="A9" s="40" t="str">
        <f>Assumption!A14</f>
        <v>Dates Extract</v>
      </c>
      <c r="B9" s="43">
        <f>(Assumption!$C14 * Assumption!$B$3 *'RM Consumed_PowerSip'!B$13)*Assumption!$B14/1000
</f>
        <v>410988.6</v>
      </c>
      <c r="C9" s="43">
        <f>(Assumption!$C14 * Assumption!$B$3 *'RM Consumed_PowerSip'!C$13)*Assumption!$B14/1000
</f>
        <v>452089.35</v>
      </c>
      <c r="D9" s="43">
        <f>(Assumption!$C14 * Assumption!$B$3 *'RM Consumed_PowerSip'!D$13)*Assumption!$B14/1000
</f>
        <v>497302.2</v>
      </c>
      <c r="E9" s="43">
        <f>(Assumption!$C14 * Assumption!$B$3 *'RM Consumed_PowerSip'!E$13)*Assumption!$B14/1000
</f>
        <v>547033.5</v>
      </c>
      <c r="F9" s="43">
        <f>(Assumption!$C14 * Assumption!$B$3 *'RM Consumed_PowerSip'!F$13)*Assumption!$B14/1000
</f>
        <v>601739.55</v>
      </c>
      <c r="G9" s="43">
        <f>(Assumption!$C14 * Assumption!$B$3 *'RM Consumed_PowerSip'!G$13)*Assumption!$B14/1000
</f>
        <v>661913.1</v>
      </c>
    </row>
    <row r="10">
      <c r="A10" s="40" t="str">
        <f>Assumption!A15</f>
        <v>Monk Fruit Extract</v>
      </c>
      <c r="B10" s="43">
        <f>(Assumption!$C15 * Assumption!$B$3 *'RM Consumed_PowerSip'!B$13)*Assumption!$B15/1000
</f>
        <v>2009277.6</v>
      </c>
      <c r="C10" s="43">
        <f>(Assumption!$C15 * Assumption!$B$3 *'RM Consumed_PowerSip'!C$13)*Assumption!$B15/1000
</f>
        <v>2210214.6</v>
      </c>
      <c r="D10" s="43">
        <f>(Assumption!$C15 * Assumption!$B$3 *'RM Consumed_PowerSip'!D$13)*Assumption!$B15/1000
</f>
        <v>2431255.2</v>
      </c>
      <c r="E10" s="43">
        <f>(Assumption!$C15 * Assumption!$B$3 *'RM Consumed_PowerSip'!E$13)*Assumption!$B15/1000
</f>
        <v>2674386</v>
      </c>
      <c r="F10" s="43">
        <f>(Assumption!$C15 * Assumption!$B$3 *'RM Consumed_PowerSip'!F$13)*Assumption!$B15/1000
</f>
        <v>2941837.8</v>
      </c>
      <c r="G10" s="43">
        <f>(Assumption!$C15 * Assumption!$B$3 *'RM Consumed_PowerSip'!G$13)*Assumption!$B15/1000
</f>
        <v>3236019.6</v>
      </c>
    </row>
    <row r="11">
      <c r="A11" s="40" t="str">
        <f>Assumption!A16</f>
        <v>Other Ingredients</v>
      </c>
      <c r="B11" s="43">
        <f>(Assumption!$C16 * Assumption!$B$3 *'RM Consumed_PowerSip'!B$13)*Assumption!$B16/1000
</f>
        <v>3287908.8</v>
      </c>
      <c r="C11" s="43">
        <f>(Assumption!$C16 * Assumption!$B$3 *'RM Consumed_PowerSip'!C$13)*Assumption!$B16/1000
</f>
        <v>3616714.8</v>
      </c>
      <c r="D11" s="43">
        <f>(Assumption!$C16 * Assumption!$B$3 *'RM Consumed_PowerSip'!D$13)*Assumption!$B16/1000
</f>
        <v>3978417.6</v>
      </c>
      <c r="E11" s="43">
        <f>(Assumption!$C16 * Assumption!$B$3 *'RM Consumed_PowerSip'!E$13)*Assumption!$B16/1000
</f>
        <v>4376268</v>
      </c>
      <c r="F11" s="43">
        <f>(Assumption!$C16 * Assumption!$B$3 *'RM Consumed_PowerSip'!F$13)*Assumption!$B16/1000
</f>
        <v>4813916.4</v>
      </c>
      <c r="G11" s="43">
        <f>(Assumption!$C16 * Assumption!$B$3 *'RM Consumed_PowerSip'!G$13)*Assumption!$B16/1000
</f>
        <v>5295304.8</v>
      </c>
    </row>
    <row r="12">
      <c r="A12" s="39" t="s">
        <v>53</v>
      </c>
      <c r="B12" s="44">
        <f t="shared" ref="B12:G12" si="1">SUM(B5:B11)</f>
        <v>13955346.24</v>
      </c>
      <c r="C12" s="44">
        <f t="shared" si="1"/>
        <v>15350945.04</v>
      </c>
      <c r="D12" s="44">
        <f t="shared" si="1"/>
        <v>16886172.48</v>
      </c>
      <c r="E12" s="44">
        <f t="shared" si="1"/>
        <v>18574826.4</v>
      </c>
      <c r="F12" s="44">
        <f t="shared" si="1"/>
        <v>20432400.72</v>
      </c>
      <c r="G12" s="44">
        <f t="shared" si="1"/>
        <v>22475627.04</v>
      </c>
    </row>
    <row r="13">
      <c r="A13" s="40" t="str">
        <f>Assumption!A17</f>
        <v/>
      </c>
      <c r="B13" s="45"/>
      <c r="C13" s="45"/>
      <c r="D13" s="45"/>
      <c r="E13" s="45"/>
      <c r="F13" s="43"/>
      <c r="G13" s="43"/>
    </row>
    <row r="14">
      <c r="A14" s="42" t="str">
        <f>Assumption!A18</f>
        <v>HappyGrow</v>
      </c>
      <c r="B14" s="45"/>
      <c r="C14" s="45"/>
      <c r="D14" s="45"/>
      <c r="E14" s="45"/>
      <c r="F14" s="43"/>
      <c r="G14" s="43"/>
    </row>
    <row r="15">
      <c r="A15" s="40" t="str">
        <f>Assumption!A20</f>
        <v>Water</v>
      </c>
      <c r="B15" s="30">
        <f>(Assumption!$C20*Assumption!$B$4*'RM Consumed_HappyGrow'!B$13)*Assumption!$B20/1000</f>
        <v>181059.648</v>
      </c>
      <c r="C15" s="30">
        <f>(Assumption!$C20*Assumption!$B$4*'RM Consumed_HappyGrow'!C$13)*Assumption!$B20/1000</f>
        <v>193733.568</v>
      </c>
      <c r="D15" s="30">
        <f>(Assumption!$C20*Assumption!$B$4*'RM Consumed_HappyGrow'!D$13)*Assumption!$B20/1000</f>
        <v>207295.2</v>
      </c>
      <c r="E15" s="30">
        <f>(Assumption!$C20*Assumption!$B$4*'RM Consumed_HappyGrow'!E$13)*Assumption!$B20/1000</f>
        <v>221806.368</v>
      </c>
      <c r="F15" s="30">
        <f>(Assumption!$C20*Assumption!$B$4*'RM Consumed_HappyGrow'!F$13)*Assumption!$B20/1000</f>
        <v>237332.256</v>
      </c>
      <c r="G15" s="30">
        <f>(Assumption!$C20*Assumption!$B$4*'RM Consumed_HappyGrow'!G$13)*Assumption!$B20/1000</f>
        <v>253947.456</v>
      </c>
    </row>
    <row r="16">
      <c r="A16" s="40" t="str">
        <f>Assumption!A21</f>
        <v>Oats Extract</v>
      </c>
      <c r="B16" s="30">
        <f>(Assumption!$C21*Assumption!$B$4*'RM Consumed_HappyGrow'!B$13)*Assumption!$B21/1000</f>
        <v>862188.8</v>
      </c>
      <c r="C16" s="30">
        <f>(Assumption!$C21*Assumption!$B$4*'RM Consumed_HappyGrow'!C$13)*Assumption!$B21/1000</f>
        <v>922540.8</v>
      </c>
      <c r="D16" s="30">
        <f>(Assumption!$C21*Assumption!$B$4*'RM Consumed_HappyGrow'!D$13)*Assumption!$B21/1000</f>
        <v>987120</v>
      </c>
      <c r="E16" s="30">
        <f>(Assumption!$C21*Assumption!$B$4*'RM Consumed_HappyGrow'!E$13)*Assumption!$B21/1000</f>
        <v>1056220.8</v>
      </c>
      <c r="F16" s="30">
        <f>(Assumption!$C21*Assumption!$B$4*'RM Consumed_HappyGrow'!F$13)*Assumption!$B21/1000</f>
        <v>1130153.6</v>
      </c>
      <c r="G16" s="30">
        <f>(Assumption!$C21*Assumption!$B$4*'RM Consumed_HappyGrow'!G$13)*Assumption!$B21/1000</f>
        <v>1209273.6</v>
      </c>
    </row>
    <row r="17">
      <c r="A17" s="40" t="str">
        <f>Assumption!A22</f>
        <v>Ragi Extract</v>
      </c>
      <c r="B17" s="30">
        <f>(Assumption!$C22*Assumption!$B$4*'RM Consumed_HappyGrow'!B$13)*Assumption!$B22/1000</f>
        <v>323320.8</v>
      </c>
      <c r="C17" s="30">
        <f>(Assumption!$C22*Assumption!$B$4*'RM Consumed_HappyGrow'!C$13)*Assumption!$B22/1000</f>
        <v>345952.8</v>
      </c>
      <c r="D17" s="30">
        <f>(Assumption!$C22*Assumption!$B$4*'RM Consumed_HappyGrow'!D$13)*Assumption!$B22/1000</f>
        <v>370170</v>
      </c>
      <c r="E17" s="30">
        <f>(Assumption!$C22*Assumption!$B$4*'RM Consumed_HappyGrow'!E$13)*Assumption!$B22/1000</f>
        <v>396082.8</v>
      </c>
      <c r="F17" s="30">
        <f>(Assumption!$C22*Assumption!$B$4*'RM Consumed_HappyGrow'!F$13)*Assumption!$B22/1000</f>
        <v>423807.6</v>
      </c>
      <c r="G17" s="30">
        <f>(Assumption!$C22*Assumption!$B$4*'RM Consumed_HappyGrow'!G$13)*Assumption!$B22/1000</f>
        <v>453477.6</v>
      </c>
    </row>
    <row r="18">
      <c r="A18" s="40" t="str">
        <f>Assumption!A23</f>
        <v>Jowar Extract</v>
      </c>
      <c r="B18" s="30">
        <f>(Assumption!$C23*Assumption!$B$4*'RM Consumed_HappyGrow'!B$13)*Assumption!$B23/1000</f>
        <v>109390.204</v>
      </c>
      <c r="C18" s="30">
        <f>(Assumption!$C23*Assumption!$B$4*'RM Consumed_HappyGrow'!C$13)*Assumption!$B23/1000</f>
        <v>117047.364</v>
      </c>
      <c r="D18" s="30">
        <f>(Assumption!$C23*Assumption!$B$4*'RM Consumed_HappyGrow'!D$13)*Assumption!$B23/1000</f>
        <v>125240.85</v>
      </c>
      <c r="E18" s="30">
        <f>(Assumption!$C23*Assumption!$B$4*'RM Consumed_HappyGrow'!E$13)*Assumption!$B23/1000</f>
        <v>134008.014</v>
      </c>
      <c r="F18" s="30">
        <f>(Assumption!$C23*Assumption!$B$4*'RM Consumed_HappyGrow'!F$13)*Assumption!$B23/1000</f>
        <v>143388.238</v>
      </c>
      <c r="G18" s="30">
        <f>(Assumption!$C23*Assumption!$B$4*'RM Consumed_HappyGrow'!G$13)*Assumption!$B23/1000</f>
        <v>153426.588</v>
      </c>
    </row>
    <row r="19">
      <c r="A19" s="40" t="str">
        <f>Assumption!A24</f>
        <v>Bajra Extract</v>
      </c>
      <c r="B19" s="30">
        <f>(Assumption!$C24*Assumption!$B$4*'RM Consumed_HappyGrow'!B$13)*Assumption!$B24/1000</f>
        <v>94301.9</v>
      </c>
      <c r="C19" s="30">
        <f>(Assumption!$C24*Assumption!$B$4*'RM Consumed_HappyGrow'!C$13)*Assumption!$B24/1000</f>
        <v>100902.9</v>
      </c>
      <c r="D19" s="30">
        <f>(Assumption!$C24*Assumption!$B$4*'RM Consumed_HappyGrow'!D$13)*Assumption!$B24/1000</f>
        <v>107966.25</v>
      </c>
      <c r="E19" s="30">
        <f>(Assumption!$C24*Assumption!$B$4*'RM Consumed_HappyGrow'!E$13)*Assumption!$B24/1000</f>
        <v>115524.15</v>
      </c>
      <c r="F19" s="30">
        <f>(Assumption!$C24*Assumption!$B$4*'RM Consumed_HappyGrow'!F$13)*Assumption!$B24/1000</f>
        <v>123610.55</v>
      </c>
      <c r="G19" s="30">
        <f>(Assumption!$C24*Assumption!$B$4*'RM Consumed_HappyGrow'!G$13)*Assumption!$B24/1000</f>
        <v>132264.3</v>
      </c>
    </row>
    <row r="20">
      <c r="A20" s="40" t="str">
        <f>Assumption!A25</f>
        <v>Dates Extract</v>
      </c>
      <c r="B20" s="30">
        <f>(Assumption!$C25*Assumption!$B$4*'RM Consumed_HappyGrow'!B$13)*Assumption!$B25/1000</f>
        <v>290988.72</v>
      </c>
      <c r="C20" s="30">
        <f>(Assumption!$C25*Assumption!$B$4*'RM Consumed_HappyGrow'!C$13)*Assumption!$B25/1000</f>
        <v>311357.52</v>
      </c>
      <c r="D20" s="30">
        <f>(Assumption!$C25*Assumption!$B$4*'RM Consumed_HappyGrow'!D$13)*Assumption!$B25/1000</f>
        <v>333153</v>
      </c>
      <c r="E20" s="30">
        <f>(Assumption!$C25*Assumption!$B$4*'RM Consumed_HappyGrow'!E$13)*Assumption!$B25/1000</f>
        <v>356474.52</v>
      </c>
      <c r="F20" s="30">
        <f>(Assumption!$C25*Assumption!$B$4*'RM Consumed_HappyGrow'!F$13)*Assumption!$B25/1000</f>
        <v>381426.84</v>
      </c>
      <c r="G20" s="30">
        <f>(Assumption!$C25*Assumption!$B$4*'RM Consumed_HappyGrow'!G$13)*Assumption!$B25/1000</f>
        <v>408129.84</v>
      </c>
    </row>
    <row r="21">
      <c r="A21" s="40" t="str">
        <f>Assumption!A26</f>
        <v>Other Ingredients</v>
      </c>
      <c r="B21" s="30">
        <f>(Assumption!$C26*Assumption!$B$4*'RM Consumed_HappyGrow'!B$13)*Assumption!$B26/1000</f>
        <v>1939924.8</v>
      </c>
      <c r="C21" s="30">
        <f>(Assumption!$C26*Assumption!$B$4*'RM Consumed_HappyGrow'!C$13)*Assumption!$B26/1000</f>
        <v>2075716.8</v>
      </c>
      <c r="D21" s="30">
        <f>(Assumption!$C26*Assumption!$B$4*'RM Consumed_HappyGrow'!D$13)*Assumption!$B26/1000</f>
        <v>2221020</v>
      </c>
      <c r="E21" s="30">
        <f>(Assumption!$C26*Assumption!$B$4*'RM Consumed_HappyGrow'!E$13)*Assumption!$B26/1000</f>
        <v>2376496.8</v>
      </c>
      <c r="F21" s="30">
        <f>(Assumption!$C26*Assumption!$B$4*'RM Consumed_HappyGrow'!F$13)*Assumption!$B26/1000</f>
        <v>2542845.6</v>
      </c>
      <c r="G21" s="30">
        <f>(Assumption!$C26*Assumption!$B$4*'RM Consumed_HappyGrow'!G$13)*Assumption!$B26/1000</f>
        <v>2720865.6</v>
      </c>
    </row>
    <row r="22">
      <c r="A22" s="39" t="s">
        <v>53</v>
      </c>
      <c r="B22" s="31">
        <f t="shared" ref="B22:G22" si="2">SUM(B15:B21)</f>
        <v>3801174.872</v>
      </c>
      <c r="C22" s="31">
        <f t="shared" si="2"/>
        <v>4067251.752</v>
      </c>
      <c r="D22" s="31">
        <f t="shared" si="2"/>
        <v>4351965.3</v>
      </c>
      <c r="E22" s="31">
        <f t="shared" si="2"/>
        <v>4656613.452</v>
      </c>
      <c r="F22" s="44">
        <f t="shared" si="2"/>
        <v>4982564.684</v>
      </c>
      <c r="G22" s="44">
        <f t="shared" si="2"/>
        <v>5331384.984</v>
      </c>
    </row>
    <row r="23">
      <c r="A23" s="40"/>
      <c r="B23" s="40"/>
      <c r="C23" s="40"/>
      <c r="D23" s="40"/>
      <c r="E23" s="40"/>
      <c r="F23" s="40"/>
      <c r="G23" s="40"/>
    </row>
    <row r="24">
      <c r="A24" s="41" t="s">
        <v>67</v>
      </c>
      <c r="B24" s="40"/>
      <c r="C24" s="40"/>
      <c r="D24" s="40"/>
      <c r="E24" s="40"/>
      <c r="F24" s="40"/>
      <c r="G24" s="40"/>
    </row>
    <row r="25">
      <c r="A25" s="40" t="str">
        <f>A4</f>
        <v>PowerSip</v>
      </c>
      <c r="B25" s="40">
        <f>(B$12/'RM Consumed_PowerSip'!B$13)</f>
        <v>45.84</v>
      </c>
      <c r="C25" s="40">
        <f>(C$12/'RM Consumed_PowerSip'!C$13)</f>
        <v>45.84</v>
      </c>
      <c r="D25" s="40">
        <f>(D$12/'RM Consumed_PowerSip'!D$13)</f>
        <v>45.84</v>
      </c>
      <c r="E25" s="40">
        <f>(E$12/'RM Consumed_PowerSip'!E$13)</f>
        <v>45.84</v>
      </c>
      <c r="F25" s="40">
        <f>(F$12/'RM Consumed_PowerSip'!F$13)</f>
        <v>45.84</v>
      </c>
      <c r="G25" s="40">
        <f>(G$12/'RM Consumed_PowerSip'!G$13)</f>
        <v>45.84</v>
      </c>
      <c r="H25" s="40"/>
    </row>
    <row r="26">
      <c r="A26" s="40" t="str">
        <f>A14</f>
        <v>HappyGrow</v>
      </c>
      <c r="B26" s="40">
        <f>(B22/'RM Consumed_HappyGrow'!B13)</f>
        <v>14.108</v>
      </c>
      <c r="C26" s="40">
        <f>(C22/'RM Consumed_HappyGrow'!C13)</f>
        <v>14.108</v>
      </c>
      <c r="D26" s="40">
        <f>(D22/'RM Consumed_HappyGrow'!D13)</f>
        <v>14.108</v>
      </c>
      <c r="E26" s="40">
        <f>(E22/'RM Consumed_HappyGrow'!E13)</f>
        <v>14.108</v>
      </c>
      <c r="F26" s="40">
        <f>(F22/'RM Consumed_HappyGrow'!F13)</f>
        <v>14.108</v>
      </c>
      <c r="G26" s="40">
        <f>(G22/'RM Consumed_HappyGrow'!G13)</f>
        <v>14.108</v>
      </c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1" t="s">
        <v>55</v>
      </c>
      <c r="B29" s="40"/>
      <c r="C29" s="40"/>
      <c r="D29" s="40"/>
      <c r="E29" s="40"/>
      <c r="F29" s="40"/>
      <c r="G29" s="40"/>
    </row>
    <row r="30">
      <c r="A30" s="41"/>
      <c r="B30" s="40"/>
      <c r="C30" s="40"/>
      <c r="D30" s="40"/>
      <c r="E30" s="40"/>
      <c r="F30" s="40"/>
      <c r="G30" s="40"/>
    </row>
    <row r="31">
      <c r="A31" s="42" t="str">
        <f>Assumption!A8</f>
        <v>PowerSip</v>
      </c>
      <c r="B31" s="40"/>
      <c r="C31" s="40"/>
      <c r="D31" s="40"/>
      <c r="E31" s="40"/>
      <c r="F31" s="40"/>
      <c r="G31" s="40"/>
    </row>
    <row r="32">
      <c r="A32" s="40" t="str">
        <f>Assumption!A10</f>
        <v>Water</v>
      </c>
      <c r="B32" s="43">
        <f>(Assumption!$C10*Assumption!$B$3*'RM Consumed_PowerSip'!B$14)*Assumption!$B10/1000</f>
        <v>278782.56</v>
      </c>
      <c r="C32" s="43">
        <f>(Assumption!$C10*Assumption!$B$3*'RM Consumed_PowerSip'!C$14)*Assumption!$B10/1000</f>
        <v>325376.52</v>
      </c>
      <c r="D32" s="43">
        <f>(Assumption!$C10*Assumption!$B$3*'RM Consumed_PowerSip'!D$14)*Assumption!$B10/1000</f>
        <v>368787.72</v>
      </c>
      <c r="E32" s="43">
        <f>(Assumption!$C10*Assumption!$B$3*'RM Consumed_PowerSip'!E$14)*Assumption!$B10/1000</f>
        <v>425806.08</v>
      </c>
      <c r="F32" s="43">
        <f>(Assumption!$C10*Assumption!$B$3*'RM Consumed_PowerSip'!F$14)*Assumption!$B10/1000</f>
        <v>493449.6</v>
      </c>
      <c r="G32" s="43">
        <f>(Assumption!$C10*Assumption!$B$3*'RM Consumed_PowerSip'!G$14)*Assumption!$B10/1000</f>
        <v>568731.24</v>
      </c>
    </row>
    <row r="33">
      <c r="A33" s="40" t="str">
        <f>Assumption!A11</f>
        <v>Milk</v>
      </c>
      <c r="B33" s="43">
        <f>(Assumption!$C11*Assumption!$B$3*'RM Consumed_PowerSip'!B$14)*Assumption!$B11/1000</f>
        <v>1742391</v>
      </c>
      <c r="C33" s="43">
        <f>(Assumption!$C11*Assumption!$B$3*'RM Consumed_PowerSip'!C$14)*Assumption!$B11/1000</f>
        <v>2033603.25</v>
      </c>
      <c r="D33" s="43">
        <f>(Assumption!$C11*Assumption!$B$3*'RM Consumed_PowerSip'!D$14)*Assumption!$B11/1000</f>
        <v>2304923.25</v>
      </c>
      <c r="E33" s="43">
        <f>(Assumption!$C11*Assumption!$B$3*'RM Consumed_PowerSip'!E$14)*Assumption!$B11/1000</f>
        <v>2661288</v>
      </c>
      <c r="F33" s="43">
        <f>(Assumption!$C11*Assumption!$B$3*'RM Consumed_PowerSip'!F$14)*Assumption!$B11/1000</f>
        <v>3084060</v>
      </c>
      <c r="G33" s="43">
        <f>(Assumption!$C11*Assumption!$B$3*'RM Consumed_PowerSip'!G$14)*Assumption!$B11/1000</f>
        <v>3554570.25</v>
      </c>
    </row>
    <row r="34">
      <c r="A34" s="40" t="str">
        <f>Assumption!A12</f>
        <v>Pea Protein Extract</v>
      </c>
      <c r="B34" s="43">
        <f>(Assumption!$C12*Assumption!$B$3*'RM Consumed_PowerSip'!B$14)*Assumption!$B12/1000</f>
        <v>3982608</v>
      </c>
      <c r="C34" s="43">
        <f>(Assumption!$C12*Assumption!$B$3*'RM Consumed_PowerSip'!C$14)*Assumption!$B12/1000</f>
        <v>4648236</v>
      </c>
      <c r="D34" s="43">
        <f>(Assumption!$C12*Assumption!$B$3*'RM Consumed_PowerSip'!D$14)*Assumption!$B12/1000</f>
        <v>5268396</v>
      </c>
      <c r="E34" s="43">
        <f>(Assumption!$C12*Assumption!$B$3*'RM Consumed_PowerSip'!E$14)*Assumption!$B12/1000</f>
        <v>6082944</v>
      </c>
      <c r="F34" s="43">
        <f>(Assumption!$C12*Assumption!$B$3*'RM Consumed_PowerSip'!F$14)*Assumption!$B12/1000</f>
        <v>7049280</v>
      </c>
      <c r="G34" s="43">
        <f>(Assumption!$C12*Assumption!$B$3*'RM Consumed_PowerSip'!G$14)*Assumption!$B12/1000</f>
        <v>8124732</v>
      </c>
    </row>
    <row r="35">
      <c r="A35" s="40" t="str">
        <f>Assumption!A13</f>
        <v>Coffee Bean Extract</v>
      </c>
      <c r="B35" s="43">
        <f>(Assumption!$C13*Assumption!$B$3*'RM Consumed_PowerSip'!B$14)*Assumption!$B13/1000</f>
        <v>2986956</v>
      </c>
      <c r="C35" s="43">
        <f>(Assumption!$C13*Assumption!$B$3*'RM Consumed_PowerSip'!C$14)*Assumption!$B13/1000</f>
        <v>3486177</v>
      </c>
      <c r="D35" s="43">
        <f>(Assumption!$C13*Assumption!$B$3*'RM Consumed_PowerSip'!D$14)*Assumption!$B13/1000</f>
        <v>3951297</v>
      </c>
      <c r="E35" s="43">
        <f>(Assumption!$C13*Assumption!$B$3*'RM Consumed_PowerSip'!E$14)*Assumption!$B13/1000</f>
        <v>4562208</v>
      </c>
      <c r="F35" s="43">
        <f>(Assumption!$C13*Assumption!$B$3*'RM Consumed_PowerSip'!F$14)*Assumption!$B13/1000</f>
        <v>5286960</v>
      </c>
      <c r="G35" s="43">
        <f>(Assumption!$C13*Assumption!$B$3*'RM Consumed_PowerSip'!G$14)*Assumption!$B13/1000</f>
        <v>6093549</v>
      </c>
    </row>
    <row r="36">
      <c r="A36" s="40" t="str">
        <f>Assumption!A14</f>
        <v>Dates Extract</v>
      </c>
      <c r="B36" s="43">
        <f>(Assumption!$C14*Assumption!$B$3*'RM Consumed_PowerSip'!B$14)*Assumption!$B14/1000</f>
        <v>448043.4</v>
      </c>
      <c r="C36" s="43">
        <f>(Assumption!$C14*Assumption!$B$3*'RM Consumed_PowerSip'!C$14)*Assumption!$B14/1000</f>
        <v>522926.55</v>
      </c>
      <c r="D36" s="43">
        <f>(Assumption!$C14*Assumption!$B$3*'RM Consumed_PowerSip'!D$14)*Assumption!$B14/1000</f>
        <v>592694.55</v>
      </c>
      <c r="E36" s="43">
        <f>(Assumption!$C14*Assumption!$B$3*'RM Consumed_PowerSip'!E$14)*Assumption!$B14/1000</f>
        <v>684331.2</v>
      </c>
      <c r="F36" s="43">
        <f>(Assumption!$C14*Assumption!$B$3*'RM Consumed_PowerSip'!F$14)*Assumption!$B14/1000</f>
        <v>793044</v>
      </c>
      <c r="G36" s="43">
        <f>(Assumption!$C14*Assumption!$B$3*'RM Consumed_PowerSip'!G$14)*Assumption!$B14/1000</f>
        <v>914032.35</v>
      </c>
    </row>
    <row r="37">
      <c r="A37" s="40" t="str">
        <f>Assumption!A15</f>
        <v>Monk Fruit Extract</v>
      </c>
      <c r="B37" s="43">
        <f>(Assumption!$C15*Assumption!$B$3*'RM Consumed_PowerSip'!B$14)*Assumption!$B15/1000</f>
        <v>2190434.4</v>
      </c>
      <c r="C37" s="43">
        <f>(Assumption!$C15*Assumption!$B$3*'RM Consumed_PowerSip'!C$14)*Assumption!$B15/1000</f>
        <v>2556529.8</v>
      </c>
      <c r="D37" s="43">
        <f>(Assumption!$C15*Assumption!$B$3*'RM Consumed_PowerSip'!D$14)*Assumption!$B15/1000</f>
        <v>2897617.8</v>
      </c>
      <c r="E37" s="43">
        <f>(Assumption!$C15*Assumption!$B$3*'RM Consumed_PowerSip'!E$14)*Assumption!$B15/1000</f>
        <v>3345619.2</v>
      </c>
      <c r="F37" s="43">
        <f>(Assumption!$C15*Assumption!$B$3*'RM Consumed_PowerSip'!F$14)*Assumption!$B15/1000</f>
        <v>3877104</v>
      </c>
      <c r="G37" s="43">
        <f>(Assumption!$C15*Assumption!$B$3*'RM Consumed_PowerSip'!G$14)*Assumption!$B15/1000</f>
        <v>4468602.6</v>
      </c>
    </row>
    <row r="38">
      <c r="A38" s="40" t="str">
        <f>Assumption!A16</f>
        <v>Other Ingredients</v>
      </c>
      <c r="B38" s="43">
        <f>(Assumption!$C16*Assumption!$B$3*'RM Consumed_PowerSip'!B$14)*Assumption!$B16/1000</f>
        <v>3584347.2</v>
      </c>
      <c r="C38" s="43">
        <f>(Assumption!$C16*Assumption!$B$3*'RM Consumed_PowerSip'!C$14)*Assumption!$B16/1000</f>
        <v>4183412.4</v>
      </c>
      <c r="D38" s="43">
        <f>(Assumption!$C16*Assumption!$B$3*'RM Consumed_PowerSip'!D$14)*Assumption!$B16/1000</f>
        <v>4741556.4</v>
      </c>
      <c r="E38" s="43">
        <f>(Assumption!$C16*Assumption!$B$3*'RM Consumed_PowerSip'!E$14)*Assumption!$B16/1000</f>
        <v>5474649.6</v>
      </c>
      <c r="F38" s="43">
        <f>(Assumption!$C16*Assumption!$B$3*'RM Consumed_PowerSip'!F$14)*Assumption!$B16/1000</f>
        <v>6344352</v>
      </c>
      <c r="G38" s="43">
        <f>(Assumption!$C16*Assumption!$B$3*'RM Consumed_PowerSip'!G$14)*Assumption!$B16/1000</f>
        <v>7312258.8</v>
      </c>
    </row>
    <row r="39">
      <c r="A39" s="39" t="s">
        <v>63</v>
      </c>
      <c r="B39" s="44">
        <f t="shared" ref="B39:G39" si="3">SUM(B32:B38)</f>
        <v>15213562.56</v>
      </c>
      <c r="C39" s="44">
        <f t="shared" si="3"/>
        <v>17756261.52</v>
      </c>
      <c r="D39" s="44">
        <f t="shared" si="3"/>
        <v>20125272.72</v>
      </c>
      <c r="E39" s="44">
        <f t="shared" si="3"/>
        <v>23236846.08</v>
      </c>
      <c r="F39" s="44">
        <f t="shared" si="3"/>
        <v>26928249.6</v>
      </c>
      <c r="G39" s="44">
        <f t="shared" si="3"/>
        <v>31036476.24</v>
      </c>
    </row>
    <row r="40">
      <c r="A40" s="40" t="str">
        <f>Assumption!A17</f>
        <v/>
      </c>
      <c r="B40" s="43"/>
      <c r="C40" s="43"/>
      <c r="D40" s="43"/>
      <c r="E40" s="43"/>
      <c r="F40" s="43"/>
      <c r="G40" s="43"/>
    </row>
    <row r="41">
      <c r="A41" s="42" t="str">
        <f>Assumption!A18</f>
        <v>HappyGrow</v>
      </c>
      <c r="B41" s="43"/>
      <c r="C41" s="43"/>
      <c r="D41" s="43"/>
      <c r="E41" s="43"/>
      <c r="F41" s="43"/>
      <c r="G41" s="43"/>
    </row>
    <row r="42">
      <c r="A42" s="40" t="str">
        <f>Assumption!A20</f>
        <v>Water</v>
      </c>
      <c r="B42" s="43">
        <f>(Assumption!$C20*Assumption!$B$4*'RM Consumed_HappyGrow'!B$14)*Assumption!$B20/1000</f>
        <v>184994.88</v>
      </c>
      <c r="C42" s="43">
        <f>(Assumption!$C20*Assumption!$B$4*'RM Consumed_HappyGrow'!C$14)*Assumption!$B20/1000</f>
        <v>206120.544</v>
      </c>
      <c r="D42" s="43">
        <f>(Assumption!$C20*Assumption!$B$4*'RM Consumed_HappyGrow'!D$14)*Assumption!$B20/1000</f>
        <v>228715.2</v>
      </c>
      <c r="E42" s="43">
        <f>(Assumption!$C20*Assumption!$B$4*'RM Consumed_HappyGrow'!E$14)*Assumption!$B20/1000</f>
        <v>254263.296</v>
      </c>
      <c r="F42" s="43">
        <f>(Assumption!$C20*Assumption!$B$4*'RM Consumed_HappyGrow'!F$14)*Assumption!$B20/1000</f>
        <v>282343.488</v>
      </c>
      <c r="G42" s="43">
        <f>(Assumption!$C20*Assumption!$B$4*'RM Consumed_HappyGrow'!G$14)*Assumption!$B20/1000</f>
        <v>312034.464</v>
      </c>
    </row>
    <row r="43">
      <c r="A43" s="40" t="str">
        <f>Assumption!A21</f>
        <v>Oats Extract</v>
      </c>
      <c r="B43" s="43">
        <f>(Assumption!$C21*Assumption!$B$4*'RM Consumed_HappyGrow'!B$14)*Assumption!$B21/1000</f>
        <v>880928</v>
      </c>
      <c r="C43" s="43">
        <f>(Assumption!$C21*Assumption!$B$4*'RM Consumed_HappyGrow'!C$14)*Assumption!$B21/1000</f>
        <v>981526.4</v>
      </c>
      <c r="D43" s="43">
        <f>(Assumption!$C21*Assumption!$B$4*'RM Consumed_HappyGrow'!D$14)*Assumption!$B21/1000</f>
        <v>1089120</v>
      </c>
      <c r="E43" s="43">
        <f>(Assumption!$C21*Assumption!$B$4*'RM Consumed_HappyGrow'!E$14)*Assumption!$B21/1000</f>
        <v>1210777.6</v>
      </c>
      <c r="F43" s="43">
        <f>(Assumption!$C21*Assumption!$B$4*'RM Consumed_HappyGrow'!F$14)*Assumption!$B21/1000</f>
        <v>1344492.8</v>
      </c>
      <c r="G43" s="43">
        <f>(Assumption!$C21*Assumption!$B$4*'RM Consumed_HappyGrow'!G$14)*Assumption!$B21/1000</f>
        <v>1485878.4</v>
      </c>
    </row>
    <row r="44">
      <c r="A44" s="40" t="str">
        <f>Assumption!A22</f>
        <v>Ragi Extract</v>
      </c>
      <c r="B44" s="43">
        <f>(Assumption!$C22*Assumption!$B$4*'RM Consumed_HappyGrow'!B$14)*Assumption!$B22/1000</f>
        <v>330348</v>
      </c>
      <c r="C44" s="43">
        <f>(Assumption!$C22*Assumption!$B$4*'RM Consumed_HappyGrow'!C$14)*Assumption!$B22/1000</f>
        <v>368072.4</v>
      </c>
      <c r="D44" s="43">
        <f>(Assumption!$C22*Assumption!$B$4*'RM Consumed_HappyGrow'!D$14)*Assumption!$B22/1000</f>
        <v>408420</v>
      </c>
      <c r="E44" s="43">
        <f>(Assumption!$C22*Assumption!$B$4*'RM Consumed_HappyGrow'!E$14)*Assumption!$B22/1000</f>
        <v>454041.6</v>
      </c>
      <c r="F44" s="43">
        <f>(Assumption!$C22*Assumption!$B$4*'RM Consumed_HappyGrow'!F$14)*Assumption!$B22/1000</f>
        <v>504184.8</v>
      </c>
      <c r="G44" s="43">
        <f>(Assumption!$C22*Assumption!$B$4*'RM Consumed_HappyGrow'!G$14)*Assumption!$B22/1000</f>
        <v>557204.4</v>
      </c>
    </row>
    <row r="45">
      <c r="A45" s="40" t="str">
        <f>Assumption!A23</f>
        <v>Jowar Extract</v>
      </c>
      <c r="B45" s="43">
        <f>(Assumption!$C23*Assumption!$B$4*'RM Consumed_HappyGrow'!B$14)*Assumption!$B23/1000</f>
        <v>111767.74</v>
      </c>
      <c r="C45" s="43">
        <f>(Assumption!$C23*Assumption!$B$4*'RM Consumed_HappyGrow'!C$14)*Assumption!$B23/1000</f>
        <v>124531.162</v>
      </c>
      <c r="D45" s="43">
        <f>(Assumption!$C23*Assumption!$B$4*'RM Consumed_HappyGrow'!D$14)*Assumption!$B23/1000</f>
        <v>138182.1</v>
      </c>
      <c r="E45" s="43">
        <f>(Assumption!$C23*Assumption!$B$4*'RM Consumed_HappyGrow'!E$14)*Assumption!$B23/1000</f>
        <v>153617.408</v>
      </c>
      <c r="F45" s="43">
        <f>(Assumption!$C23*Assumption!$B$4*'RM Consumed_HappyGrow'!F$14)*Assumption!$B23/1000</f>
        <v>170582.524</v>
      </c>
      <c r="G45" s="43">
        <f>(Assumption!$C23*Assumption!$B$4*'RM Consumed_HappyGrow'!G$14)*Assumption!$B23/1000</f>
        <v>188520.822</v>
      </c>
    </row>
    <row r="46">
      <c r="A46" s="40" t="str">
        <f>Assumption!A24</f>
        <v>Bajra Extract</v>
      </c>
      <c r="B46" s="43">
        <f>(Assumption!$C24*Assumption!$B$4*'RM Consumed_HappyGrow'!B$14)*Assumption!$B24/1000</f>
        <v>96351.5</v>
      </c>
      <c r="C46" s="43">
        <f>(Assumption!$C24*Assumption!$B$4*'RM Consumed_HappyGrow'!C$14)*Assumption!$B24/1000</f>
        <v>107354.45</v>
      </c>
      <c r="D46" s="43">
        <f>(Assumption!$C24*Assumption!$B$4*'RM Consumed_HappyGrow'!D$14)*Assumption!$B24/1000</f>
        <v>119122.5</v>
      </c>
      <c r="E46" s="43">
        <f>(Assumption!$C24*Assumption!$B$4*'RM Consumed_HappyGrow'!E$14)*Assumption!$B24/1000</f>
        <v>132428.8</v>
      </c>
      <c r="F46" s="43">
        <f>(Assumption!$C24*Assumption!$B$4*'RM Consumed_HappyGrow'!F$14)*Assumption!$B24/1000</f>
        <v>147053.9</v>
      </c>
      <c r="G46" s="43">
        <f>(Assumption!$C24*Assumption!$B$4*'RM Consumed_HappyGrow'!G$14)*Assumption!$B24/1000</f>
        <v>162517.95</v>
      </c>
    </row>
    <row r="47">
      <c r="A47" s="40" t="str">
        <f>Assumption!A25</f>
        <v>Dates Extract</v>
      </c>
      <c r="B47" s="43">
        <f>(Assumption!$C25*Assumption!$B$4*'RM Consumed_HappyGrow'!B$14)*Assumption!$B25/1000</f>
        <v>297313.2</v>
      </c>
      <c r="C47" s="43">
        <f>(Assumption!$C25*Assumption!$B$4*'RM Consumed_HappyGrow'!C$14)*Assumption!$B25/1000</f>
        <v>331265.16</v>
      </c>
      <c r="D47" s="43">
        <f>(Assumption!$C25*Assumption!$B$4*'RM Consumed_HappyGrow'!D$14)*Assumption!$B25/1000</f>
        <v>367578</v>
      </c>
      <c r="E47" s="43">
        <f>(Assumption!$C25*Assumption!$B$4*'RM Consumed_HappyGrow'!E$14)*Assumption!$B25/1000</f>
        <v>408637.44</v>
      </c>
      <c r="F47" s="43">
        <f>(Assumption!$C25*Assumption!$B$4*'RM Consumed_HappyGrow'!F$14)*Assumption!$B25/1000</f>
        <v>453766.32</v>
      </c>
      <c r="G47" s="43">
        <f>(Assumption!$C25*Assumption!$B$4*'RM Consumed_HappyGrow'!G$14)*Assumption!$B25/1000</f>
        <v>501483.96</v>
      </c>
    </row>
    <row r="48">
      <c r="A48" s="40" t="str">
        <f>Assumption!A26</f>
        <v>Other Ingredients</v>
      </c>
      <c r="B48" s="43">
        <f>(Assumption!$C26*Assumption!$B$4*'RM Consumed_HappyGrow'!B$14)*Assumption!$B26/1000</f>
        <v>1982088</v>
      </c>
      <c r="C48" s="43">
        <f>(Assumption!$C26*Assumption!$B$4*'RM Consumed_HappyGrow'!C$14)*Assumption!$B26/1000</f>
        <v>2208434.4</v>
      </c>
      <c r="D48" s="43">
        <f>(Assumption!$C26*Assumption!$B$4*'RM Consumed_HappyGrow'!D$14)*Assumption!$B26/1000</f>
        <v>2450520</v>
      </c>
      <c r="E48" s="43">
        <f>(Assumption!$C26*Assumption!$B$4*'RM Consumed_HappyGrow'!E$14)*Assumption!$B26/1000</f>
        <v>2724249.6</v>
      </c>
      <c r="F48" s="43">
        <f>(Assumption!$C26*Assumption!$B$4*'RM Consumed_HappyGrow'!F$14)*Assumption!$B26/1000</f>
        <v>3025108.8</v>
      </c>
      <c r="G48" s="43">
        <f>(Assumption!$C26*Assumption!$B$4*'RM Consumed_HappyGrow'!G$14)*Assumption!$B26/1000</f>
        <v>3343226.4</v>
      </c>
    </row>
    <row r="49">
      <c r="A49" s="39" t="s">
        <v>63</v>
      </c>
      <c r="B49" s="44">
        <f t="shared" ref="B49:G49" si="4">SUM(B42:B48)</f>
        <v>3883791.32</v>
      </c>
      <c r="C49" s="44">
        <f t="shared" si="4"/>
        <v>4327304.516</v>
      </c>
      <c r="D49" s="44">
        <f t="shared" si="4"/>
        <v>4801657.8</v>
      </c>
      <c r="E49" s="44">
        <f t="shared" si="4"/>
        <v>5338015.744</v>
      </c>
      <c r="F49" s="44">
        <f t="shared" si="4"/>
        <v>5927532.632</v>
      </c>
      <c r="G49" s="44">
        <f t="shared" si="4"/>
        <v>6550866.396</v>
      </c>
    </row>
    <row r="50">
      <c r="A50" s="40" t="str">
        <f>Assumption!A28</f>
        <v/>
      </c>
      <c r="B50" s="40"/>
      <c r="C50" s="40"/>
      <c r="D50" s="40"/>
      <c r="E50" s="40"/>
      <c r="F50" s="40"/>
      <c r="G50" s="40"/>
    </row>
    <row r="51">
      <c r="A51" s="39" t="s">
        <v>67</v>
      </c>
      <c r="B51" s="40"/>
      <c r="C51" s="40"/>
      <c r="D51" s="40"/>
      <c r="E51" s="40"/>
      <c r="F51" s="40"/>
      <c r="G51" s="40"/>
    </row>
    <row r="52">
      <c r="A52" s="40" t="str">
        <f>A31</f>
        <v>PowerSip</v>
      </c>
      <c r="B52" s="40">
        <f>(B39/'RM Consumed_PowerSip'!B14)</f>
        <v>45.84</v>
      </c>
      <c r="C52" s="40">
        <f>(C39/'RM Consumed_PowerSip'!C14)</f>
        <v>45.84</v>
      </c>
      <c r="D52" s="40">
        <f>(D39/'RM Consumed_PowerSip'!D14)</f>
        <v>45.84</v>
      </c>
      <c r="E52" s="40">
        <f>(E39/'RM Consumed_PowerSip'!E14)</f>
        <v>45.84</v>
      </c>
      <c r="F52" s="40">
        <f>(F39/'RM Consumed_PowerSip'!F14)</f>
        <v>45.84</v>
      </c>
      <c r="G52" s="40">
        <f>(G39/'RM Consumed_PowerSip'!G14)</f>
        <v>45.84</v>
      </c>
    </row>
    <row r="53">
      <c r="A53" s="40" t="str">
        <f>A41</f>
        <v>HappyGrow</v>
      </c>
      <c r="B53" s="40">
        <f>(B49/'RM Consumed_HappyGrow'!B14)</f>
        <v>14.108</v>
      </c>
      <c r="C53" s="40">
        <f>(C49/'RM Consumed_HappyGrow'!C14)</f>
        <v>14.108</v>
      </c>
      <c r="D53" s="40">
        <f>(D49/'RM Consumed_HappyGrow'!D14)</f>
        <v>14.108</v>
      </c>
      <c r="E53" s="40">
        <f>(E49/'RM Consumed_HappyGrow'!E14)</f>
        <v>14.108</v>
      </c>
      <c r="F53" s="40">
        <f>(F49/'RM Consumed_HappyGrow'!F14)</f>
        <v>14.108</v>
      </c>
      <c r="G53" s="40">
        <f>(G49/'RM Consumed_HappyGrow'!G14)</f>
        <v>14.108</v>
      </c>
    </row>
    <row r="65">
      <c r="A65" s="1" t="str">
        <f>Assumption!A43</f>
        <v/>
      </c>
    </row>
    <row r="66">
      <c r="A66" s="1" t="str">
        <f>Assumption!A44</f>
        <v/>
      </c>
    </row>
    <row r="67">
      <c r="A67" s="1" t="str">
        <f>Assumption!A45</f>
        <v/>
      </c>
    </row>
    <row r="68">
      <c r="A68" s="1" t="str">
        <f>Assumption!A46</f>
        <v/>
      </c>
    </row>
    <row r="69">
      <c r="A69" s="1" t="str">
        <f>Assumption!A47</f>
        <v/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19.63"/>
  </cols>
  <sheetData>
    <row r="1">
      <c r="B1" s="46" t="s">
        <v>68</v>
      </c>
      <c r="C1" s="2" t="s">
        <v>46</v>
      </c>
      <c r="D1" s="46" t="s">
        <v>47</v>
      </c>
      <c r="E1" s="46" t="s">
        <v>48</v>
      </c>
      <c r="F1" s="46" t="s">
        <v>49</v>
      </c>
      <c r="G1" s="46" t="s">
        <v>50</v>
      </c>
    </row>
    <row r="2">
      <c r="A2" s="41" t="s">
        <v>11</v>
      </c>
      <c r="B2" s="47"/>
      <c r="C2" s="40"/>
      <c r="D2" s="40"/>
      <c r="E2" s="40"/>
      <c r="F2" s="40"/>
      <c r="G2" s="40"/>
    </row>
    <row r="3">
      <c r="A3" s="48" t="s">
        <v>69</v>
      </c>
      <c r="B3" s="40"/>
      <c r="C3" s="40"/>
      <c r="D3" s="40"/>
      <c r="E3" s="40"/>
      <c r="F3" s="40"/>
      <c r="G3" s="40"/>
    </row>
    <row r="4">
      <c r="A4" s="40" t="str">
        <f>Assumption!A10</f>
        <v>Water</v>
      </c>
      <c r="B4" s="40">
        <f>Assumption!$B$3*Assumption!$C10</f>
        <v>105</v>
      </c>
      <c r="C4" s="40">
        <f>Assumption!$B$3*Assumption!$C10</f>
        <v>105</v>
      </c>
      <c r="D4" s="40">
        <f>Assumption!$B$3*Assumption!$C10</f>
        <v>105</v>
      </c>
      <c r="E4" s="40">
        <f>Assumption!$B$3*Assumption!$C10</f>
        <v>105</v>
      </c>
      <c r="F4" s="40">
        <f>Assumption!$B$3*Assumption!$C10</f>
        <v>105</v>
      </c>
      <c r="G4" s="40">
        <f>Assumption!$B$3*Assumption!$C10</f>
        <v>105</v>
      </c>
      <c r="I4" s="49"/>
      <c r="J4" s="49"/>
      <c r="K4" s="49"/>
    </row>
    <row r="5">
      <c r="A5" s="40" t="str">
        <f>Assumption!A11</f>
        <v>Milk</v>
      </c>
      <c r="B5" s="40">
        <f>Assumption!$B$3*Assumption!$C11</f>
        <v>105</v>
      </c>
      <c r="C5" s="40">
        <f>Assumption!$B$3*Assumption!$C11</f>
        <v>105</v>
      </c>
      <c r="D5" s="40">
        <f>Assumption!$B$3*Assumption!$C11</f>
        <v>105</v>
      </c>
      <c r="E5" s="40">
        <f>Assumption!$B$3*Assumption!$C11</f>
        <v>105</v>
      </c>
      <c r="F5" s="40">
        <f>Assumption!$B$3*Assumption!$C11</f>
        <v>105</v>
      </c>
      <c r="G5" s="40">
        <f>Assumption!$B$3*Assumption!$C11</f>
        <v>105</v>
      </c>
    </row>
    <row r="6">
      <c r="A6" s="40" t="str">
        <f>Assumption!A12</f>
        <v>Pea Protein Extract</v>
      </c>
      <c r="B6" s="40">
        <f>Assumption!$B$3*Assumption!$C12</f>
        <v>30</v>
      </c>
      <c r="C6" s="40">
        <f>Assumption!$B$3*Assumption!$C12</f>
        <v>30</v>
      </c>
      <c r="D6" s="40">
        <f>Assumption!$B$3*Assumption!$C12</f>
        <v>30</v>
      </c>
      <c r="E6" s="40">
        <f>Assumption!$B$3*Assumption!$C12</f>
        <v>30</v>
      </c>
      <c r="F6" s="40">
        <f>Assumption!$B$3*Assumption!$C12</f>
        <v>30</v>
      </c>
      <c r="G6" s="40">
        <f>Assumption!$B$3*Assumption!$C12</f>
        <v>30</v>
      </c>
    </row>
    <row r="7">
      <c r="A7" s="40" t="str">
        <f>Assumption!A13</f>
        <v>Coffee Bean Extract</v>
      </c>
      <c r="B7" s="40">
        <f>Assumption!$B$3*Assumption!$C13</f>
        <v>30</v>
      </c>
      <c r="C7" s="40">
        <f>Assumption!$B$3*Assumption!$C13</f>
        <v>30</v>
      </c>
      <c r="D7" s="40">
        <f>Assumption!$B$3*Assumption!$C13</f>
        <v>30</v>
      </c>
      <c r="E7" s="40">
        <f>Assumption!$B$3*Assumption!$C13</f>
        <v>30</v>
      </c>
      <c r="F7" s="40">
        <f>Assumption!$B$3*Assumption!$C13</f>
        <v>30</v>
      </c>
      <c r="G7" s="40">
        <f>Assumption!$B$3*Assumption!$C13</f>
        <v>30</v>
      </c>
    </row>
    <row r="8">
      <c r="A8" s="40" t="str">
        <f>Assumption!A14</f>
        <v>Dates Extract</v>
      </c>
      <c r="B8" s="40">
        <f>Assumption!$B$3*Assumption!$C14</f>
        <v>15</v>
      </c>
      <c r="C8" s="40">
        <f>Assumption!$B$3*Assumption!$C14</f>
        <v>15</v>
      </c>
      <c r="D8" s="40">
        <f>Assumption!$B$3*Assumption!$C14</f>
        <v>15</v>
      </c>
      <c r="E8" s="40">
        <f>Assumption!$B$3*Assumption!$C14</f>
        <v>15</v>
      </c>
      <c r="F8" s="40">
        <f>Assumption!$B$3*Assumption!$C14</f>
        <v>15</v>
      </c>
      <c r="G8" s="40">
        <f>Assumption!$B$3*Assumption!$C14</f>
        <v>15</v>
      </c>
    </row>
    <row r="9">
      <c r="A9" s="40" t="str">
        <f>Assumption!A15</f>
        <v>Monk Fruit Extract</v>
      </c>
      <c r="B9" s="40">
        <f>Assumption!$B$3*Assumption!$C15</f>
        <v>6</v>
      </c>
      <c r="C9" s="40">
        <f>Assumption!$B$3*Assumption!$C15</f>
        <v>6</v>
      </c>
      <c r="D9" s="40">
        <f>Assumption!$B$3*Assumption!$C15</f>
        <v>6</v>
      </c>
      <c r="E9" s="40">
        <f>Assumption!$B$3*Assumption!$C15</f>
        <v>6</v>
      </c>
      <c r="F9" s="40">
        <f>Assumption!$B$3*Assumption!$C15</f>
        <v>6</v>
      </c>
      <c r="G9" s="40">
        <f>Assumption!$B$3*Assumption!$C15</f>
        <v>6</v>
      </c>
    </row>
    <row r="10">
      <c r="A10" s="40" t="str">
        <f>Assumption!A16</f>
        <v>Other Ingredients</v>
      </c>
      <c r="B10" s="40">
        <f>Assumption!$B$3*Assumption!$C16</f>
        <v>9</v>
      </c>
      <c r="C10" s="40">
        <f>Assumption!$B$3*Assumption!$C16</f>
        <v>9</v>
      </c>
      <c r="D10" s="40">
        <f>Assumption!$B$3*Assumption!$C16</f>
        <v>9</v>
      </c>
      <c r="E10" s="40">
        <f>Assumption!$B$3*Assumption!$C16</f>
        <v>9</v>
      </c>
      <c r="F10" s="40">
        <f>Assumption!$B$3*Assumption!$C16</f>
        <v>9</v>
      </c>
      <c r="G10" s="40">
        <f>Assumption!$B$3*Assumption!$C16</f>
        <v>9</v>
      </c>
    </row>
    <row r="11">
      <c r="A11" s="40"/>
      <c r="B11" s="40"/>
      <c r="C11" s="40"/>
      <c r="D11" s="40"/>
      <c r="E11" s="40"/>
      <c r="F11" s="40"/>
      <c r="G11" s="40"/>
    </row>
    <row r="12">
      <c r="A12" s="48" t="s">
        <v>70</v>
      </c>
      <c r="B12" s="40"/>
      <c r="C12" s="40"/>
      <c r="D12" s="40"/>
      <c r="E12" s="40"/>
      <c r="F12" s="40"/>
      <c r="G12" s="40"/>
    </row>
    <row r="13">
      <c r="A13" s="41" t="s">
        <v>65</v>
      </c>
      <c r="B13" s="40">
        <f>SUMIFS('Sales Quantity'!I:I, 'Sales Quantity'!A:A, "Month1", 'Sales Quantity'!D:D, "PowerSip") / 135</f>
        <v>304436</v>
      </c>
      <c r="C13" s="40">
        <f>SUMIFS('Sales Quantity'!I:I, 'Sales Quantity'!A:A, "Month2", 'Sales Quantity'!D:D, "PowerSip") / 135</f>
        <v>334881</v>
      </c>
      <c r="D13" s="40">
        <f>SUMIFS('Sales Quantity'!I:I, 'Sales Quantity'!A:A, "Month3", 'Sales Quantity'!D:D, "PowerSip") / 135</f>
        <v>368372</v>
      </c>
      <c r="E13" s="40">
        <f>SUMIFS('Sales Quantity'!I:I, 'Sales Quantity'!A:A, "Month4", 'Sales Quantity'!D:D, "PowerSip") / 135</f>
        <v>405210</v>
      </c>
      <c r="F13" s="40">
        <f>SUMIFS('Sales Quantity'!I:I, 'Sales Quantity'!A:A, "Month5", 'Sales Quantity'!D:D, "PowerSip") / 135</f>
        <v>445733</v>
      </c>
      <c r="G13" s="40">
        <f>SUMIFS('Sales Quantity'!I:I, 'Sales Quantity'!A:A, "Month6", 'Sales Quantity'!D:D, "PowerSip") / 135</f>
        <v>490306</v>
      </c>
    </row>
    <row r="14">
      <c r="A14" s="41" t="s">
        <v>55</v>
      </c>
      <c r="B14" s="40">
        <f>SUMIFS('Sales Quantity'!J:J, 'Sales Quantity'!$A:$A, "Month1", 'Sales Quantity'!$D:$D, "PowerSip") / 140</f>
        <v>331884</v>
      </c>
      <c r="C14" s="40">
        <f>SUMIFS('Sales Quantity'!J:J, 'Sales Quantity'!A:A, "Month2", 'Sales Quantity'!D:D, "PowerSip") / 140</f>
        <v>387353</v>
      </c>
      <c r="D14" s="40">
        <f>SUMIFS('Sales Quantity'!J:J, 'Sales Quantity'!A:A, "Month3", 'Sales Quantity'!D:D, "PowerSip") / 140</f>
        <v>439033</v>
      </c>
      <c r="E14" s="40">
        <f>SUMIFS('Sales Quantity'!J:J, 'Sales Quantity'!A:A, "Month4", 'Sales Quantity'!D:D, "PowerSip") / 140</f>
        <v>506912</v>
      </c>
      <c r="F14" s="40">
        <f>SUMIFS('Sales Quantity'!J:J, 'Sales Quantity'!A:A, "Month5", 'Sales Quantity'!D:D, "PowerSip") / 140</f>
        <v>587440</v>
      </c>
      <c r="G14" s="40">
        <f>SUMIFS('Sales Quantity'!J:J, 'Sales Quantity'!A:A, "Month6", 'Sales Quantity'!D:D, "PowerSip") / 140</f>
        <v>677061</v>
      </c>
    </row>
    <row r="15">
      <c r="A15" s="40"/>
      <c r="B15" s="40"/>
      <c r="C15" s="40"/>
      <c r="D15" s="40"/>
      <c r="E15" s="40"/>
      <c r="F15" s="40"/>
      <c r="G15" s="40"/>
    </row>
    <row r="16">
      <c r="A16" s="48" t="s">
        <v>71</v>
      </c>
      <c r="B16" s="40"/>
      <c r="C16" s="40"/>
      <c r="D16" s="40"/>
      <c r="E16" s="40"/>
      <c r="F16" s="40"/>
      <c r="G16" s="40"/>
    </row>
    <row r="17">
      <c r="A17" s="41" t="s">
        <v>72</v>
      </c>
      <c r="B17" s="41" t="s">
        <v>73</v>
      </c>
      <c r="C17" s="41" t="s">
        <v>73</v>
      </c>
      <c r="D17" s="40"/>
      <c r="E17" s="40"/>
      <c r="F17" s="40"/>
      <c r="G17" s="40"/>
    </row>
    <row r="18">
      <c r="A18" s="41"/>
      <c r="B18" s="41"/>
      <c r="C18" s="41"/>
      <c r="D18" s="40"/>
      <c r="E18" s="40"/>
      <c r="F18" s="40"/>
      <c r="G18" s="40"/>
    </row>
    <row r="19">
      <c r="A19" s="40" t="str">
        <f>Assumption!A10</f>
        <v>Water</v>
      </c>
      <c r="B19" s="40">
        <f>B$13 * 300 *Assumption!$C10  / 1000</f>
        <v>31965.78</v>
      </c>
      <c r="C19" s="40">
        <f>C$13 * 300 *Assumption!$C10  / 1000</f>
        <v>35162.505</v>
      </c>
      <c r="D19" s="40">
        <f>D$13 * 300 *Assumption!$C10  / 1000</f>
        <v>38679.06</v>
      </c>
      <c r="E19" s="40">
        <f>E$13 * 300 *Assumption!$C10  / 1000</f>
        <v>42547.05</v>
      </c>
      <c r="F19" s="40">
        <f>F$13 * 300 *Assumption!$C10  / 1000</f>
        <v>46801.965</v>
      </c>
      <c r="G19" s="40">
        <f>G$13 * 300 *Assumption!$C10  / 1000</f>
        <v>51482.13</v>
      </c>
    </row>
    <row r="20">
      <c r="A20" s="40" t="str">
        <f>Assumption!A11</f>
        <v>Milk</v>
      </c>
      <c r="B20" s="40">
        <f>B$13 * 300 *Assumption!$C11  / 1000</f>
        <v>31965.78</v>
      </c>
      <c r="C20" s="40">
        <f>C$13 * 300 *Assumption!$C11  / 1000</f>
        <v>35162.505</v>
      </c>
      <c r="D20" s="40">
        <f>D$13 * 300 *Assumption!$C11  / 1000</f>
        <v>38679.06</v>
      </c>
      <c r="E20" s="40">
        <f>E$13 * 300 *Assumption!$C11  / 1000</f>
        <v>42547.05</v>
      </c>
      <c r="F20" s="40">
        <f>F$13 * 300 *Assumption!$C11  / 1000</f>
        <v>46801.965</v>
      </c>
      <c r="G20" s="40">
        <f>G$13 * 300 *Assumption!$C11  / 1000</f>
        <v>51482.13</v>
      </c>
    </row>
    <row r="21">
      <c r="A21" s="40" t="str">
        <f>Assumption!A12</f>
        <v>Pea Protein Extract</v>
      </c>
      <c r="B21" s="40">
        <f>B$13 * 300 *Assumption!$C12  / 1000</f>
        <v>9133.08</v>
      </c>
      <c r="C21" s="40">
        <f>C$13 * 300 *Assumption!$C12  / 1000</f>
        <v>10046.43</v>
      </c>
      <c r="D21" s="40">
        <f>D$13 * 300 *Assumption!$C12  / 1000</f>
        <v>11051.16</v>
      </c>
      <c r="E21" s="40">
        <f>E$13 * 300 *Assumption!$C12  / 1000</f>
        <v>12156.3</v>
      </c>
      <c r="F21" s="40">
        <f>F$13 * 300 *Assumption!$C12  / 1000</f>
        <v>13371.99</v>
      </c>
      <c r="G21" s="40">
        <f>G$13 * 300 *Assumption!$C12  / 1000</f>
        <v>14709.18</v>
      </c>
    </row>
    <row r="22">
      <c r="A22" s="40" t="str">
        <f>Assumption!A13</f>
        <v>Coffee Bean Extract</v>
      </c>
      <c r="B22" s="40">
        <f>B$13 * 300 *Assumption!$C13  / 1000</f>
        <v>9133.08</v>
      </c>
      <c r="C22" s="40">
        <f>C$13 * 300 *Assumption!$C13  / 1000</f>
        <v>10046.43</v>
      </c>
      <c r="D22" s="40">
        <f>D$13 * 300 *Assumption!$C13  / 1000</f>
        <v>11051.16</v>
      </c>
      <c r="E22" s="40">
        <f>E$13 * 300 *Assumption!$C13  / 1000</f>
        <v>12156.3</v>
      </c>
      <c r="F22" s="40">
        <f>F$13 * 300 *Assumption!$C13  / 1000</f>
        <v>13371.99</v>
      </c>
      <c r="G22" s="40">
        <f>G$13 * 300 *Assumption!$C13  / 1000</f>
        <v>14709.18</v>
      </c>
    </row>
    <row r="23">
      <c r="A23" s="40" t="str">
        <f>Assumption!A14</f>
        <v>Dates Extract</v>
      </c>
      <c r="B23" s="40">
        <f>B$13 * 300 *Assumption!$C14  / 1000</f>
        <v>4566.54</v>
      </c>
      <c r="C23" s="40">
        <f>C$13 * 300 *Assumption!$C14  / 1000</f>
        <v>5023.215</v>
      </c>
      <c r="D23" s="40">
        <f>D$13 * 300 *Assumption!$C14  / 1000</f>
        <v>5525.58</v>
      </c>
      <c r="E23" s="40">
        <f>E$13 * 300 *Assumption!$C14  / 1000</f>
        <v>6078.15</v>
      </c>
      <c r="F23" s="40">
        <f>F$13 * 300 *Assumption!$C14  / 1000</f>
        <v>6685.995</v>
      </c>
      <c r="G23" s="40">
        <f>G$13 * 300 *Assumption!$C14  / 1000</f>
        <v>7354.59</v>
      </c>
    </row>
    <row r="24">
      <c r="A24" s="40" t="str">
        <f>Assumption!A15</f>
        <v>Monk Fruit Extract</v>
      </c>
      <c r="B24" s="40">
        <f>B$13 * 300 *Assumption!$C15  / 1000</f>
        <v>1826.616</v>
      </c>
      <c r="C24" s="40">
        <f>C$13 * 300 *Assumption!$C15  / 1000</f>
        <v>2009.286</v>
      </c>
      <c r="D24" s="40">
        <f>D$13 * 300 *Assumption!$C15  / 1000</f>
        <v>2210.232</v>
      </c>
      <c r="E24" s="40">
        <f>E$13 * 300 *Assumption!$C15  / 1000</f>
        <v>2431.26</v>
      </c>
      <c r="F24" s="40">
        <f>F$13 * 300 *Assumption!$C15  / 1000</f>
        <v>2674.398</v>
      </c>
      <c r="G24" s="40">
        <f>G$13 * 300 *Assumption!$C15  / 1000</f>
        <v>2941.836</v>
      </c>
    </row>
    <row r="25">
      <c r="A25" s="40" t="str">
        <f>Assumption!A16</f>
        <v>Other Ingredients</v>
      </c>
      <c r="B25" s="40">
        <f>B$13 * 300 *Assumption!$C16  / 1000</f>
        <v>2739.924</v>
      </c>
      <c r="C25" s="40">
        <f>C$13 * 300 *Assumption!$C16  / 1000</f>
        <v>3013.929</v>
      </c>
      <c r="D25" s="40">
        <f>D$13 * 300 *Assumption!$C16  / 1000</f>
        <v>3315.348</v>
      </c>
      <c r="E25" s="40">
        <f>E$13 * 300 *Assumption!$C16  / 1000</f>
        <v>3646.89</v>
      </c>
      <c r="F25" s="40">
        <f>F$13 * 300 *Assumption!$C16  / 1000</f>
        <v>4011.597</v>
      </c>
      <c r="G25" s="40">
        <f>G$13 * 300 *Assumption!$C16  / 1000</f>
        <v>4412.754</v>
      </c>
    </row>
    <row r="26">
      <c r="A26" s="40" t="str">
        <f>Assumption!A17</f>
        <v/>
      </c>
      <c r="B26" s="40"/>
      <c r="C26" s="40"/>
      <c r="D26" s="40"/>
      <c r="E26" s="40"/>
      <c r="F26" s="40"/>
      <c r="G26" s="40"/>
    </row>
    <row r="27">
      <c r="A27" s="41" t="s">
        <v>55</v>
      </c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 t="str">
        <f>Assumption!A10</f>
        <v>Water</v>
      </c>
      <c r="B29" s="40">
        <f>B$14 * 300 *Assumption!$C10  / 1000</f>
        <v>34847.82</v>
      </c>
      <c r="C29" s="40">
        <f>C$14 * 300 *Assumption!$C10  / 1000</f>
        <v>40672.065</v>
      </c>
      <c r="D29" s="40">
        <f>D$14 * 300 *Assumption!$C10  / 1000</f>
        <v>46098.465</v>
      </c>
      <c r="E29" s="40">
        <f>E$14 * 300 *Assumption!$C10  / 1000</f>
        <v>53225.76</v>
      </c>
      <c r="F29" s="40">
        <f>F$14 * 300 *Assumption!$C10  / 1000</f>
        <v>61681.2</v>
      </c>
      <c r="G29" s="40">
        <f>G$14 * 300 *Assumption!$C10  / 1000</f>
        <v>71091.405</v>
      </c>
    </row>
    <row r="30">
      <c r="A30" s="40" t="str">
        <f>Assumption!A11</f>
        <v>Milk</v>
      </c>
      <c r="B30" s="40">
        <f>B$14 * 300 *Assumption!$C11  / 1000</f>
        <v>34847.82</v>
      </c>
      <c r="C30" s="40">
        <f>C$14 * 300 *Assumption!$C11  / 1000</f>
        <v>40672.065</v>
      </c>
      <c r="D30" s="40">
        <f>D$14 * 300 *Assumption!$C11  / 1000</f>
        <v>46098.465</v>
      </c>
      <c r="E30" s="40">
        <f>E$14 * 300 *Assumption!$C11  / 1000</f>
        <v>53225.76</v>
      </c>
      <c r="F30" s="40">
        <f>F$14 * 300 *Assumption!$C11  / 1000</f>
        <v>61681.2</v>
      </c>
      <c r="G30" s="40">
        <f>G$14 * 300 *Assumption!$C11  / 1000</f>
        <v>71091.405</v>
      </c>
    </row>
    <row r="31">
      <c r="A31" s="40" t="str">
        <f>Assumption!A12</f>
        <v>Pea Protein Extract</v>
      </c>
      <c r="B31" s="40">
        <f>B$14 * 300 *Assumption!$C12  / 1000</f>
        <v>9956.52</v>
      </c>
      <c r="C31" s="40">
        <f>C$14 * 300 *Assumption!$C12  / 1000</f>
        <v>11620.59</v>
      </c>
      <c r="D31" s="40">
        <f>D$14 * 300 *Assumption!$C12  / 1000</f>
        <v>13170.99</v>
      </c>
      <c r="E31" s="40">
        <f>E$14 * 300 *Assumption!$C12  / 1000</f>
        <v>15207.36</v>
      </c>
      <c r="F31" s="40">
        <f>F$14 * 300 *Assumption!$C12  / 1000</f>
        <v>17623.2</v>
      </c>
      <c r="G31" s="40">
        <f>G$14 * 300 *Assumption!$C12  / 1000</f>
        <v>20311.83</v>
      </c>
    </row>
    <row r="32">
      <c r="A32" s="40" t="str">
        <f>Assumption!A13</f>
        <v>Coffee Bean Extract</v>
      </c>
      <c r="B32" s="40">
        <f>B$14 * 300 *Assumption!$C13  / 1000</f>
        <v>9956.52</v>
      </c>
      <c r="C32" s="40">
        <f>C$14 * 300 *Assumption!$C13  / 1000</f>
        <v>11620.59</v>
      </c>
      <c r="D32" s="40">
        <f>D$14 * 300 *Assumption!$C13  / 1000</f>
        <v>13170.99</v>
      </c>
      <c r="E32" s="40">
        <f>E$14 * 300 *Assumption!$C13  / 1000</f>
        <v>15207.36</v>
      </c>
      <c r="F32" s="40">
        <f>F$14 * 300 *Assumption!$C13  / 1000</f>
        <v>17623.2</v>
      </c>
      <c r="G32" s="40">
        <f>G$14 * 300 *Assumption!$C13  / 1000</f>
        <v>20311.83</v>
      </c>
    </row>
    <row r="33">
      <c r="A33" s="40" t="str">
        <f>Assumption!A14</f>
        <v>Dates Extract</v>
      </c>
      <c r="B33" s="40">
        <f>B$14 * 300 *Assumption!$C14  / 1000</f>
        <v>4978.26</v>
      </c>
      <c r="C33" s="40">
        <f>C$14 * 300 *Assumption!$C14  / 1000</f>
        <v>5810.295</v>
      </c>
      <c r="D33" s="40">
        <f>D$14 * 300 *Assumption!$C14  / 1000</f>
        <v>6585.495</v>
      </c>
      <c r="E33" s="40">
        <f>E$14 * 300 *Assumption!$C14  / 1000</f>
        <v>7603.68</v>
      </c>
      <c r="F33" s="40">
        <f>F$14 * 300 *Assumption!$C14  / 1000</f>
        <v>8811.6</v>
      </c>
      <c r="G33" s="40">
        <f>G$14 * 300 *Assumption!$C14  / 1000</f>
        <v>10155.915</v>
      </c>
    </row>
    <row r="34">
      <c r="A34" s="40" t="str">
        <f>Assumption!A15</f>
        <v>Monk Fruit Extract</v>
      </c>
      <c r="B34" s="40">
        <f>B$14 * 300 *Assumption!$C15  / 1000</f>
        <v>1991.304</v>
      </c>
      <c r="C34" s="40">
        <f>C$14 * 300 *Assumption!$C15  / 1000</f>
        <v>2324.118</v>
      </c>
      <c r="D34" s="40">
        <f>D$14 * 300 *Assumption!$C15  / 1000</f>
        <v>2634.198</v>
      </c>
      <c r="E34" s="40">
        <f>E$14 * 300 *Assumption!$C15  / 1000</f>
        <v>3041.472</v>
      </c>
      <c r="F34" s="40">
        <f>F$14 * 300 *Assumption!$C15  / 1000</f>
        <v>3524.64</v>
      </c>
      <c r="G34" s="40">
        <f>G$14 * 300 *Assumption!$C15  / 1000</f>
        <v>4062.366</v>
      </c>
    </row>
    <row r="35">
      <c r="A35" s="40" t="str">
        <f>Assumption!A16</f>
        <v>Other Ingredients</v>
      </c>
      <c r="B35" s="40">
        <f>B$14 * 300 *Assumption!$C16  / 1000</f>
        <v>2986.956</v>
      </c>
      <c r="C35" s="40">
        <f>C$14 * 300 *Assumption!$C16  / 1000</f>
        <v>3486.177</v>
      </c>
      <c r="D35" s="40">
        <f>D$14 * 300 *Assumption!$C16  / 1000</f>
        <v>3951.297</v>
      </c>
      <c r="E35" s="40">
        <f>E$14 * 300 *Assumption!$C16  / 1000</f>
        <v>4562.208</v>
      </c>
      <c r="F35" s="40">
        <f>F$14 * 300 *Assumption!$C16  / 1000</f>
        <v>5286.96</v>
      </c>
      <c r="G35" s="40">
        <f>G$14 * 300 *Assumption!$C16  / 1000</f>
        <v>6093.549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20.25"/>
    <col customWidth="1" min="3" max="3" width="18.88"/>
    <col customWidth="1" min="4" max="4" width="18.13"/>
    <col customWidth="1" min="5" max="5" width="17.25"/>
    <col customWidth="1" min="6" max="6" width="16.0"/>
    <col customWidth="1" min="7" max="7" width="19.63"/>
  </cols>
  <sheetData>
    <row r="1">
      <c r="B1" s="46" t="s">
        <v>68</v>
      </c>
      <c r="C1" s="2" t="s">
        <v>46</v>
      </c>
      <c r="D1" s="46" t="s">
        <v>47</v>
      </c>
      <c r="E1" s="46" t="s">
        <v>48</v>
      </c>
      <c r="F1" s="46" t="s">
        <v>49</v>
      </c>
      <c r="G1" s="46" t="s">
        <v>50</v>
      </c>
    </row>
    <row r="2">
      <c r="A2" s="50" t="s">
        <v>12</v>
      </c>
      <c r="B2" s="51"/>
      <c r="C2" s="51"/>
      <c r="D2" s="51"/>
      <c r="E2" s="51"/>
      <c r="F2" s="51"/>
      <c r="G2" s="51"/>
    </row>
    <row r="3">
      <c r="A3" s="52" t="s">
        <v>69</v>
      </c>
      <c r="B3" s="51"/>
      <c r="C3" s="51"/>
      <c r="D3" s="51"/>
      <c r="E3" s="51"/>
      <c r="F3" s="51"/>
      <c r="G3" s="51"/>
    </row>
    <row r="4">
      <c r="A4" s="51" t="str">
        <f>Assumption!A20</f>
        <v>Water</v>
      </c>
      <c r="B4" s="51">
        <f>Assumption!$B$4*Assumption!$C20</f>
        <v>84</v>
      </c>
      <c r="C4" s="51">
        <f>Assumption!$B$4*Assumption!$C20</f>
        <v>84</v>
      </c>
      <c r="D4" s="51">
        <f>Assumption!$B$4*Assumption!$C20</f>
        <v>84</v>
      </c>
      <c r="E4" s="51">
        <f>Assumption!$B$4*Assumption!$C20</f>
        <v>84</v>
      </c>
      <c r="F4" s="51">
        <f>Assumption!$B$4*Assumption!$C20</f>
        <v>84</v>
      </c>
      <c r="G4" s="51">
        <f>Assumption!$B$4*Assumption!$C20</f>
        <v>84</v>
      </c>
    </row>
    <row r="5">
      <c r="A5" s="51" t="str">
        <f>Assumption!A21</f>
        <v>Oats Extract</v>
      </c>
      <c r="B5" s="51">
        <f>Assumption!$B$4*Assumption!$C21</f>
        <v>40</v>
      </c>
      <c r="C5" s="51">
        <f>Assumption!$B$4*Assumption!$C21</f>
        <v>40</v>
      </c>
      <c r="D5" s="51">
        <f>Assumption!$B$4*Assumption!$C21</f>
        <v>40</v>
      </c>
      <c r="E5" s="51">
        <f>Assumption!$B$4*Assumption!$C21</f>
        <v>40</v>
      </c>
      <c r="F5" s="51">
        <f>Assumption!$B$4*Assumption!$C21</f>
        <v>40</v>
      </c>
      <c r="G5" s="51">
        <f>Assumption!$B$4*Assumption!$C21</f>
        <v>40</v>
      </c>
    </row>
    <row r="6">
      <c r="A6" s="51" t="str">
        <f>Assumption!A22</f>
        <v>Ragi Extract</v>
      </c>
      <c r="B6" s="51">
        <f>Assumption!$B$4*Assumption!$C22</f>
        <v>30</v>
      </c>
      <c r="C6" s="51">
        <f>Assumption!$B$4*Assumption!$C22</f>
        <v>30</v>
      </c>
      <c r="D6" s="51">
        <f>Assumption!$B$4*Assumption!$C22</f>
        <v>30</v>
      </c>
      <c r="E6" s="51">
        <f>Assumption!$B$4*Assumption!$C22</f>
        <v>30</v>
      </c>
      <c r="F6" s="51">
        <f>Assumption!$B$4*Assumption!$C22</f>
        <v>30</v>
      </c>
      <c r="G6" s="51">
        <f>Assumption!$B$4*Assumption!$C22</f>
        <v>30</v>
      </c>
    </row>
    <row r="7">
      <c r="A7" s="51" t="str">
        <f>Assumption!A23</f>
        <v>Jowar Extract</v>
      </c>
      <c r="B7" s="51">
        <f>Assumption!$B$4*Assumption!$C23</f>
        <v>14</v>
      </c>
      <c r="C7" s="51">
        <f>Assumption!$B$4*Assumption!$C23</f>
        <v>14</v>
      </c>
      <c r="D7" s="51">
        <f>Assumption!$B$4*Assumption!$C23</f>
        <v>14</v>
      </c>
      <c r="E7" s="51">
        <f>Assumption!$B$4*Assumption!$C23</f>
        <v>14</v>
      </c>
      <c r="F7" s="51">
        <f>Assumption!$B$4*Assumption!$C23</f>
        <v>14</v>
      </c>
      <c r="G7" s="51">
        <f>Assumption!$B$4*Assumption!$C23</f>
        <v>14</v>
      </c>
    </row>
    <row r="8">
      <c r="A8" s="51" t="str">
        <f>Assumption!A24</f>
        <v>Bajra Extract</v>
      </c>
      <c r="B8" s="51">
        <f>Assumption!$B$4*Assumption!$C24</f>
        <v>14</v>
      </c>
      <c r="C8" s="51">
        <f>Assumption!$B$4*Assumption!$C24</f>
        <v>14</v>
      </c>
      <c r="D8" s="51">
        <f>Assumption!$B$4*Assumption!$C24</f>
        <v>14</v>
      </c>
      <c r="E8" s="51">
        <f>Assumption!$B$4*Assumption!$C24</f>
        <v>14</v>
      </c>
      <c r="F8" s="51">
        <f>Assumption!$B$4*Assumption!$C24</f>
        <v>14</v>
      </c>
      <c r="G8" s="51">
        <f>Assumption!$B$4*Assumption!$C24</f>
        <v>14</v>
      </c>
    </row>
    <row r="9">
      <c r="A9" s="51" t="str">
        <f>Assumption!A25</f>
        <v>Dates Extract</v>
      </c>
      <c r="B9" s="51">
        <f>Assumption!$B$4*Assumption!$C25</f>
        <v>12</v>
      </c>
      <c r="C9" s="51">
        <f>Assumption!$B$4*Assumption!$C25</f>
        <v>12</v>
      </c>
      <c r="D9" s="51">
        <f>Assumption!$B$4*Assumption!$C25</f>
        <v>12</v>
      </c>
      <c r="E9" s="51">
        <f>Assumption!$B$4*Assumption!$C25</f>
        <v>12</v>
      </c>
      <c r="F9" s="51">
        <f>Assumption!$B$4*Assumption!$C25</f>
        <v>12</v>
      </c>
      <c r="G9" s="51">
        <f>Assumption!$B$4*Assumption!$C25</f>
        <v>12</v>
      </c>
    </row>
    <row r="10">
      <c r="A10" s="51" t="str">
        <f>Assumption!A26</f>
        <v>Other Ingredients</v>
      </c>
      <c r="B10" s="51">
        <f>Assumption!$B$4*Assumption!$C26</f>
        <v>6</v>
      </c>
      <c r="C10" s="51">
        <f>Assumption!$B$4*Assumption!$C26</f>
        <v>6</v>
      </c>
      <c r="D10" s="51">
        <f>Assumption!$B$4*Assumption!$C26</f>
        <v>6</v>
      </c>
      <c r="E10" s="51">
        <f>Assumption!$B$4*Assumption!$C26</f>
        <v>6</v>
      </c>
      <c r="F10" s="51">
        <f>Assumption!$B$4*Assumption!$C26</f>
        <v>6</v>
      </c>
      <c r="G10" s="51">
        <f>Assumption!$B$4*Assumption!$C26</f>
        <v>6</v>
      </c>
    </row>
    <row r="11">
      <c r="A11" s="51"/>
      <c r="B11" s="51"/>
      <c r="C11" s="51"/>
      <c r="D11" s="51"/>
      <c r="E11" s="51"/>
      <c r="F11" s="51"/>
      <c r="G11" s="51"/>
    </row>
    <row r="12">
      <c r="A12" s="52" t="s">
        <v>70</v>
      </c>
      <c r="B12" s="51"/>
      <c r="C12" s="51"/>
      <c r="D12" s="51"/>
      <c r="E12" s="51"/>
      <c r="F12" s="51"/>
      <c r="G12" s="51"/>
    </row>
    <row r="13">
      <c r="A13" s="53" t="s">
        <v>65</v>
      </c>
      <c r="B13" s="51">
        <f>SUMIFS('Sales Quantity'!$I:$I, 'Sales Quantity'!$A:$A, "Month1", 'Sales Quantity'!$D:$D, "HappyGrow")/60</f>
        <v>269434</v>
      </c>
      <c r="C13" s="51">
        <f>SUMIFS('Sales Quantity'!$I:$I, 'Sales Quantity'!$A:$A, "Month2", 'Sales Quantity'!$D:$D, "HappyGrow")/60</f>
        <v>288294</v>
      </c>
      <c r="D13" s="51">
        <f>SUMIFS('Sales Quantity'!$I:$I, 'Sales Quantity'!$A:$A, "Month3", 'Sales Quantity'!$D:$D, "HappyGrow")/60</f>
        <v>308475</v>
      </c>
      <c r="E13" s="51">
        <f>SUMIFS('Sales Quantity'!$I:$I, 'Sales Quantity'!$A:$A, "Month4", 'Sales Quantity'!$D:$D, "HappyGrow")/60</f>
        <v>330069</v>
      </c>
      <c r="F13" s="51">
        <f>SUMIFS('Sales Quantity'!$I:$I, 'Sales Quantity'!$A:$A, "Month5", 'Sales Quantity'!$D:$D, "HappyGrow")/60</f>
        <v>353173</v>
      </c>
      <c r="G13" s="51">
        <f>SUMIFS('Sales Quantity'!$I:$I, 'Sales Quantity'!$A:$A, "Month6", 'Sales Quantity'!$D:$D, "HappyGrow")/60</f>
        <v>377898</v>
      </c>
    </row>
    <row r="14">
      <c r="A14" s="53" t="s">
        <v>55</v>
      </c>
      <c r="B14" s="51">
        <f>SUMIFS('Sales Quantity'!$J:$J, 'Sales Quantity'!$A:$A, "Month1", 'Sales Quantity'!$D:$D, "HappyGrow")/70</f>
        <v>275290</v>
      </c>
      <c r="C14" s="51">
        <f>SUMIFS('Sales Quantity'!$J:$J, 'Sales Quantity'!$A:$A, "Month2", 'Sales Quantity'!$D:$D, "HappyGrow")/70</f>
        <v>306727</v>
      </c>
      <c r="D14" s="51">
        <f>SUMIFS('Sales Quantity'!$J:$J, 'Sales Quantity'!$A:$A, "Month3", 'Sales Quantity'!$D:$D, "HappyGrow")/70</f>
        <v>340350</v>
      </c>
      <c r="E14" s="51">
        <f>SUMIFS('Sales Quantity'!$J:$J, 'Sales Quantity'!$A:$A, "Month4", 'Sales Quantity'!$D:$D, "HappyGrow")/70</f>
        <v>378368</v>
      </c>
      <c r="F14" s="51">
        <f>SUMIFS('Sales Quantity'!$J:$J, 'Sales Quantity'!$A:$A, "Month5", 'Sales Quantity'!$D:$D, "HappyGrow")/70</f>
        <v>420154</v>
      </c>
      <c r="G14" s="51">
        <f>SUMIFS('Sales Quantity'!$J:$J, 'Sales Quantity'!$A:$A, "Month6", 'Sales Quantity'!$D:$D, "HappyGrow")/70</f>
        <v>464337</v>
      </c>
    </row>
    <row r="15">
      <c r="A15" s="51"/>
      <c r="B15" s="51"/>
      <c r="C15" s="51"/>
      <c r="D15" s="51"/>
      <c r="E15" s="51"/>
      <c r="F15" s="51"/>
      <c r="G15" s="51"/>
    </row>
    <row r="16">
      <c r="A16" s="52" t="s">
        <v>71</v>
      </c>
      <c r="B16" s="51"/>
      <c r="C16" s="51"/>
      <c r="D16" s="51"/>
      <c r="E16" s="51"/>
      <c r="F16" s="51"/>
      <c r="G16" s="51"/>
    </row>
    <row r="17">
      <c r="A17" s="53" t="s">
        <v>72</v>
      </c>
      <c r="B17" s="51"/>
      <c r="C17" s="51"/>
      <c r="D17" s="51"/>
      <c r="E17" s="51"/>
      <c r="F17" s="51"/>
      <c r="G17" s="51"/>
    </row>
    <row r="18">
      <c r="A18" s="53"/>
      <c r="B18" s="51"/>
      <c r="C18" s="51"/>
      <c r="D18" s="51"/>
      <c r="E18" s="51"/>
      <c r="F18" s="51"/>
      <c r="G18" s="51"/>
    </row>
    <row r="19">
      <c r="A19" s="53" t="str">
        <f>Assumption!A20</f>
        <v>Water</v>
      </c>
      <c r="B19" s="51">
        <f>B$13 * 200 *Assumption!$C20  / 1000</f>
        <v>22632.456</v>
      </c>
      <c r="C19" s="51">
        <f>C$13 * 200 *Assumption!$C20  / 1000</f>
        <v>24216.696</v>
      </c>
      <c r="D19" s="51">
        <f>D$13 * 200 *Assumption!$C20  / 1000</f>
        <v>25911.9</v>
      </c>
      <c r="E19" s="51">
        <f>E$13 * 200 *Assumption!$C20  / 1000</f>
        <v>27725.796</v>
      </c>
      <c r="F19" s="51">
        <f>F$13 * 200 *Assumption!$C20  / 1000</f>
        <v>29666.532</v>
      </c>
      <c r="G19" s="51">
        <f>G$13 * 200 *Assumption!$C20  / 1000</f>
        <v>31743.432</v>
      </c>
    </row>
    <row r="20">
      <c r="A20" s="53" t="str">
        <f>Assumption!A21</f>
        <v>Oats Extract</v>
      </c>
      <c r="B20" s="51">
        <f>B$13 * 200 *Assumption!$C21  / 1000</f>
        <v>10777.36</v>
      </c>
      <c r="C20" s="51">
        <f>C$13 * 200 *Assumption!$C21  / 1000</f>
        <v>11531.76</v>
      </c>
      <c r="D20" s="51">
        <f>D$13 * 200 *Assumption!$C21  / 1000</f>
        <v>12339</v>
      </c>
      <c r="E20" s="51">
        <f>E$13 * 200 *Assumption!$C21  / 1000</f>
        <v>13202.76</v>
      </c>
      <c r="F20" s="51">
        <f>F$13 * 200 *Assumption!$C21  / 1000</f>
        <v>14126.92</v>
      </c>
      <c r="G20" s="51">
        <f>G$13 * 200 *Assumption!$C21  / 1000</f>
        <v>15115.92</v>
      </c>
    </row>
    <row r="21">
      <c r="A21" s="53" t="str">
        <f>Assumption!A22</f>
        <v>Ragi Extract</v>
      </c>
      <c r="B21" s="51">
        <f>B$13 * 200 *Assumption!$C22  / 1000</f>
        <v>8083.02</v>
      </c>
      <c r="C21" s="51">
        <f>C$13 * 200 *Assumption!$C22  / 1000</f>
        <v>8648.82</v>
      </c>
      <c r="D21" s="51">
        <f>D$13 * 200 *Assumption!$C22  / 1000</f>
        <v>9254.25</v>
      </c>
      <c r="E21" s="51">
        <f>E$13 * 200 *Assumption!$C22  / 1000</f>
        <v>9902.07</v>
      </c>
      <c r="F21" s="51">
        <f>F$13 * 200 *Assumption!$C22  / 1000</f>
        <v>10595.19</v>
      </c>
      <c r="G21" s="51">
        <f>G$13 * 200 *Assumption!$C22  / 1000</f>
        <v>11336.94</v>
      </c>
    </row>
    <row r="22">
      <c r="A22" s="53" t="str">
        <f>Assumption!A23</f>
        <v>Jowar Extract</v>
      </c>
      <c r="B22" s="51">
        <f>B$13 * 200 *Assumption!$C23  / 1000</f>
        <v>3772.076</v>
      </c>
      <c r="C22" s="51">
        <f>C$13 * 200 *Assumption!$C23  / 1000</f>
        <v>4036.116</v>
      </c>
      <c r="D22" s="51">
        <f>D$13 * 200 *Assumption!$C23  / 1000</f>
        <v>4318.65</v>
      </c>
      <c r="E22" s="51">
        <f>E$13 * 200 *Assumption!$C23  / 1000</f>
        <v>4620.966</v>
      </c>
      <c r="F22" s="51">
        <f>F$13 * 200 *Assumption!$C23  / 1000</f>
        <v>4944.422</v>
      </c>
      <c r="G22" s="51">
        <f>G$13 * 200 *Assumption!$C23  / 1000</f>
        <v>5290.572</v>
      </c>
    </row>
    <row r="23">
      <c r="A23" s="53" t="str">
        <f>Assumption!A24</f>
        <v>Bajra Extract</v>
      </c>
      <c r="B23" s="51">
        <f>B$13 * 200 *Assumption!$C24  / 1000</f>
        <v>3772.076</v>
      </c>
      <c r="C23" s="51">
        <f>C$13 * 200 *Assumption!$C24  / 1000</f>
        <v>4036.116</v>
      </c>
      <c r="D23" s="51">
        <f>D$13 * 200 *Assumption!$C24  / 1000</f>
        <v>4318.65</v>
      </c>
      <c r="E23" s="51">
        <f>E$13 * 200 *Assumption!$C24  / 1000</f>
        <v>4620.966</v>
      </c>
      <c r="F23" s="51">
        <f>F$13 * 200 *Assumption!$C24  / 1000</f>
        <v>4944.422</v>
      </c>
      <c r="G23" s="51">
        <f>G$13 * 200 *Assumption!$C24  / 1000</f>
        <v>5290.572</v>
      </c>
    </row>
    <row r="24">
      <c r="A24" s="53" t="str">
        <f>Assumption!A25</f>
        <v>Dates Extract</v>
      </c>
      <c r="B24" s="51">
        <f>B$13 * 200 *Assumption!$C25  / 1000</f>
        <v>3233.208</v>
      </c>
      <c r="C24" s="51">
        <f>C$13 * 200 *Assumption!$C25  / 1000</f>
        <v>3459.528</v>
      </c>
      <c r="D24" s="51">
        <f>D$13 * 200 *Assumption!$C25  / 1000</f>
        <v>3701.7</v>
      </c>
      <c r="E24" s="51">
        <f>E$13 * 200 *Assumption!$C25  / 1000</f>
        <v>3960.828</v>
      </c>
      <c r="F24" s="51">
        <f>F$13 * 200 *Assumption!$C25  / 1000</f>
        <v>4238.076</v>
      </c>
      <c r="G24" s="51">
        <f>G$13 * 200 *Assumption!$C25  / 1000</f>
        <v>4534.776</v>
      </c>
    </row>
    <row r="25">
      <c r="A25" s="53" t="str">
        <f>Assumption!A26</f>
        <v>Other Ingredients</v>
      </c>
      <c r="B25" s="51">
        <f>B$13 * 200 *Assumption!$C26  / 1000</f>
        <v>1616.604</v>
      </c>
      <c r="C25" s="51">
        <f>C$13 * 200 *Assumption!$C26  / 1000</f>
        <v>1729.764</v>
      </c>
      <c r="D25" s="51">
        <f>D$13 * 200 *Assumption!$C26  / 1000</f>
        <v>1850.85</v>
      </c>
      <c r="E25" s="51">
        <f>E$13 * 200 *Assumption!$C26  / 1000</f>
        <v>1980.414</v>
      </c>
      <c r="F25" s="51">
        <f>F$13 * 200 *Assumption!$C26  / 1000</f>
        <v>2119.038</v>
      </c>
      <c r="G25" s="51">
        <f>G$13 * 200 *Assumption!$C26  / 1000</f>
        <v>2267.388</v>
      </c>
    </row>
    <row r="26">
      <c r="A26" s="51"/>
      <c r="B26" s="51"/>
      <c r="C26" s="51"/>
      <c r="D26" s="51"/>
      <c r="E26" s="51"/>
      <c r="F26" s="51"/>
      <c r="G26" s="51"/>
    </row>
    <row r="27">
      <c r="A27" s="53" t="s">
        <v>55</v>
      </c>
      <c r="B27" s="51"/>
      <c r="C27" s="51"/>
      <c r="D27" s="51"/>
      <c r="E27" s="51"/>
      <c r="F27" s="51"/>
      <c r="G27" s="51"/>
    </row>
    <row r="28">
      <c r="A28" s="51"/>
      <c r="B28" s="51"/>
      <c r="C28" s="51"/>
      <c r="D28" s="51"/>
      <c r="E28" s="51"/>
      <c r="F28" s="51"/>
      <c r="G28" s="51"/>
    </row>
    <row r="29">
      <c r="A29" s="51" t="str">
        <f>Assumption!A20</f>
        <v>Water</v>
      </c>
      <c r="B29" s="51">
        <f>B$14 * 200 *Assumption!$C20  / 1000</f>
        <v>23124.36</v>
      </c>
      <c r="C29" s="51">
        <f>C$14 * 200 *Assumption!$C20  / 1000</f>
        <v>25765.068</v>
      </c>
      <c r="D29" s="51">
        <f>D$14 * 200 *Assumption!$C20  / 1000</f>
        <v>28589.4</v>
      </c>
      <c r="E29" s="51">
        <f>E$14 * 200 *Assumption!$C20  / 1000</f>
        <v>31782.912</v>
      </c>
      <c r="F29" s="51">
        <f>F$14 * 200 *Assumption!$C20  / 1000</f>
        <v>35292.936</v>
      </c>
      <c r="G29" s="51">
        <f>G$14 * 200 *Assumption!$C20  / 1000</f>
        <v>39004.308</v>
      </c>
    </row>
    <row r="30">
      <c r="A30" s="51" t="str">
        <f>Assumption!A21</f>
        <v>Oats Extract</v>
      </c>
      <c r="B30" s="51">
        <f>B$14 * 200 *Assumption!$C21  / 1000</f>
        <v>11011.6</v>
      </c>
      <c r="C30" s="51">
        <f>C$14 * 200 *Assumption!$C21  / 1000</f>
        <v>12269.08</v>
      </c>
      <c r="D30" s="51">
        <f>D$14 * 200 *Assumption!$C21  / 1000</f>
        <v>13614</v>
      </c>
      <c r="E30" s="51">
        <f>E$14 * 200 *Assumption!$C21  / 1000</f>
        <v>15134.72</v>
      </c>
      <c r="F30" s="51">
        <f>F$14 * 200 *Assumption!$C21  / 1000</f>
        <v>16806.16</v>
      </c>
      <c r="G30" s="51">
        <f>G$14 * 200 *Assumption!$C21  / 1000</f>
        <v>18573.48</v>
      </c>
    </row>
    <row r="31">
      <c r="A31" s="51" t="str">
        <f>Assumption!A22</f>
        <v>Ragi Extract</v>
      </c>
      <c r="B31" s="51">
        <f>B$14 * 200 *Assumption!$C22  / 1000</f>
        <v>8258.7</v>
      </c>
      <c r="C31" s="51">
        <f>C$14 * 200 *Assumption!$C22  / 1000</f>
        <v>9201.81</v>
      </c>
      <c r="D31" s="51">
        <f>D$14 * 200 *Assumption!$C22  / 1000</f>
        <v>10210.5</v>
      </c>
      <c r="E31" s="51">
        <f>E$14 * 200 *Assumption!$C22  / 1000</f>
        <v>11351.04</v>
      </c>
      <c r="F31" s="51">
        <f>F$14 * 200 *Assumption!$C22  / 1000</f>
        <v>12604.62</v>
      </c>
      <c r="G31" s="51">
        <f>G$14 * 200 *Assumption!$C22  / 1000</f>
        <v>13930.11</v>
      </c>
    </row>
    <row r="32">
      <c r="A32" s="51" t="str">
        <f>Assumption!A23</f>
        <v>Jowar Extract</v>
      </c>
      <c r="B32" s="51">
        <f>B$14 * 200 *Assumption!$C23  / 1000</f>
        <v>3854.06</v>
      </c>
      <c r="C32" s="51">
        <f>C$14 * 200 *Assumption!$C23  / 1000</f>
        <v>4294.178</v>
      </c>
      <c r="D32" s="51">
        <f>D$14 * 200 *Assumption!$C23  / 1000</f>
        <v>4764.9</v>
      </c>
      <c r="E32" s="51">
        <f>E$14 * 200 *Assumption!$C23  / 1000</f>
        <v>5297.152</v>
      </c>
      <c r="F32" s="51">
        <f>F$14 * 200 *Assumption!$C23  / 1000</f>
        <v>5882.156</v>
      </c>
      <c r="G32" s="51">
        <f>G$14 * 200 *Assumption!$C23  / 1000</f>
        <v>6500.718</v>
      </c>
    </row>
    <row r="33">
      <c r="A33" s="51" t="str">
        <f>Assumption!A24</f>
        <v>Bajra Extract</v>
      </c>
      <c r="B33" s="51">
        <f>B$14 * 200 *Assumption!$C24  / 1000</f>
        <v>3854.06</v>
      </c>
      <c r="C33" s="51">
        <f>C$14 * 200 *Assumption!$C24  / 1000</f>
        <v>4294.178</v>
      </c>
      <c r="D33" s="51">
        <f>D$14 * 200 *Assumption!$C24  / 1000</f>
        <v>4764.9</v>
      </c>
      <c r="E33" s="51">
        <f>E$14 * 200 *Assumption!$C24  / 1000</f>
        <v>5297.152</v>
      </c>
      <c r="F33" s="51">
        <f>F$14 * 200 *Assumption!$C24  / 1000</f>
        <v>5882.156</v>
      </c>
      <c r="G33" s="51">
        <f>G$14 * 200 *Assumption!$C24  / 1000</f>
        <v>6500.718</v>
      </c>
    </row>
    <row r="34">
      <c r="A34" s="51" t="str">
        <f>Assumption!A25</f>
        <v>Dates Extract</v>
      </c>
      <c r="B34" s="51">
        <f>B$14 * 200 *Assumption!$C25  / 1000</f>
        <v>3303.48</v>
      </c>
      <c r="C34" s="51">
        <f>C$14 * 200 *Assumption!$C25  / 1000</f>
        <v>3680.724</v>
      </c>
      <c r="D34" s="51">
        <f>D$14 * 200 *Assumption!$C25  / 1000</f>
        <v>4084.2</v>
      </c>
      <c r="E34" s="51">
        <f>E$14 * 200 *Assumption!$C25  / 1000</f>
        <v>4540.416</v>
      </c>
      <c r="F34" s="51">
        <f>F$14 * 200 *Assumption!$C25  / 1000</f>
        <v>5041.848</v>
      </c>
      <c r="G34" s="51">
        <f>G$14 * 200 *Assumption!$C25  / 1000</f>
        <v>5572.044</v>
      </c>
    </row>
    <row r="35">
      <c r="A35" s="51" t="str">
        <f>Assumption!A26</f>
        <v>Other Ingredients</v>
      </c>
      <c r="B35" s="51">
        <f>B$14 * 200 *Assumption!$C26  / 1000</f>
        <v>1651.74</v>
      </c>
      <c r="C35" s="51">
        <f>C$14 * 200 *Assumption!$C26  / 1000</f>
        <v>1840.362</v>
      </c>
      <c r="D35" s="51">
        <f>D$14 * 200 *Assumption!$C26  / 1000</f>
        <v>2042.1</v>
      </c>
      <c r="E35" s="51">
        <f>E$14 * 200 *Assumption!$C26  / 1000</f>
        <v>2270.208</v>
      </c>
      <c r="F35" s="51">
        <f>F$14 * 200 *Assumption!$C26  / 1000</f>
        <v>2520.924</v>
      </c>
      <c r="G35" s="51">
        <f>G$14 * 200 *Assumption!$C26  / 1000</f>
        <v>2786.022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0.38"/>
  </cols>
  <sheetData>
    <row r="1">
      <c r="A1" s="54" t="s">
        <v>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 t="s">
        <v>75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6" t="s">
        <v>76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25" t="s">
        <v>77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56" t="s">
        <v>78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25" t="s">
        <v>79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4" t="s">
        <v>80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8" t="s">
        <v>81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9" t="s">
        <v>82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25" t="s">
        <v>83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9" t="s">
        <v>84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6" t="s">
        <v>85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25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9" t="s">
        <v>86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8" t="s">
        <v>87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6" t="s">
        <v>88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60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8" t="s">
        <v>89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58" t="s">
        <v>90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60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60" t="s">
        <v>91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56" t="s">
        <v>92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5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61" t="s">
        <v>93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8" t="s">
        <v>94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8" t="s">
        <v>95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60" t="s">
        <v>96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4" t="s">
        <v>97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8" t="s">
        <v>98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6" t="s">
        <v>99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4" t="s">
        <v>100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6" t="s">
        <v>101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6" t="s">
        <v>102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6" t="s">
        <v>103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4" t="s">
        <v>104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6" t="s">
        <v>105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4" t="s">
        <v>106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25" t="s">
        <v>107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6" t="s">
        <v>108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6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2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2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</row>
    <row r="1002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</row>
    <row r="1003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</row>
    <row r="1004">
      <c r="A1004" s="55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</row>
    <row r="1005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</row>
    <row r="1006">
      <c r="A1006" s="55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</row>
    <row r="1007">
      <c r="A1007" s="55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</row>
    <row r="1008">
      <c r="A1008" s="55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</row>
    <row r="1009">
      <c r="A1009" s="55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</row>
    <row r="1010">
      <c r="A1010" s="55"/>
      <c r="B1010" s="55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5"/>
    <col customWidth="1" min="2" max="2" width="14.63"/>
  </cols>
  <sheetData>
    <row r="1">
      <c r="A1" s="1" t="s">
        <v>106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</row>
    <row r="2">
      <c r="A2" s="2" t="s">
        <v>115</v>
      </c>
      <c r="B2" s="1" t="str">
        <f>IFERROR(__xludf.DUMMYFUNCTION("REGEXEXTRACT(A2, ""Month\d+"")"),"Month1")</f>
        <v>Month1</v>
      </c>
      <c r="C2" s="1" t="str">
        <f>IFERROR(__xludf.DUMMYFUNCTION("REGEXEXTRACT(A2, ""#([A-Z])#"")
"),"N")</f>
        <v>N</v>
      </c>
      <c r="D2" s="1" t="str">
        <f>IFERROR(__xludf.DUMMYFUNCTION("REGEXEXTRACT(A2, ""City_([^/]+)"")"),"Chennai")</f>
        <v>Chennai</v>
      </c>
      <c r="E2" s="1" t="str">
        <f>IFERROR(__xludf.DUMMYFUNCTION("REGEXEXTRACT(A2, ""PRD-([^/]+)"")"),"PowerSip")</f>
        <v>PowerSip</v>
      </c>
      <c r="F2" s="1" t="str">
        <f>IFERROR(__xludf.DUMMYFUNCTION("REGEXEXTRACT(A2, ""OPQ\s+(\d+)"")"),"21497")</f>
        <v>21497</v>
      </c>
      <c r="G2" s="1" t="str">
        <f>IFERROR(__xludf.DUMMYFUNCTION("REGEXEXTRACT(A2, ""NPQ\[.*?\](\d+)"")"),"22572")</f>
        <v>22572</v>
      </c>
    </row>
    <row r="3">
      <c r="A3" s="2" t="s">
        <v>116</v>
      </c>
      <c r="B3" s="1" t="str">
        <f>IFERROR(__xludf.DUMMYFUNCTION("REGEXEXTRACT(A3, ""Month\d+"")"),"Month1")</f>
        <v>Month1</v>
      </c>
      <c r="C3" s="1" t="str">
        <f>IFERROR(__xludf.DUMMYFUNCTION("REGEXEXTRACT(A3, ""#([A-Z])#"")
"),"N")</f>
        <v>N</v>
      </c>
      <c r="D3" s="1" t="str">
        <f>IFERROR(__xludf.DUMMYFUNCTION("REGEXEXTRACT(A3, ""City_([^/]+)"")"),"Chennai")</f>
        <v>Chennai</v>
      </c>
      <c r="E3" s="1" t="str">
        <f>IFERROR(__xludf.DUMMYFUNCTION("REGEXEXTRACT(A3, ""PRD-([^/]+)"")"),"HappyGrow")</f>
        <v>HappyGrow</v>
      </c>
      <c r="F3" s="1" t="str">
        <f>IFERROR(__xludf.DUMMYFUNCTION("REGEXEXTRACT(A3, ""OPQ\s+(\d+)"")"),"16650")</f>
        <v>16650</v>
      </c>
      <c r="G3" s="1" t="str">
        <f>IFERROR(__xludf.DUMMYFUNCTION("REGEXEXTRACT(A3, ""NPQ\[.*?\](\d+)"")"),"16817")</f>
        <v>16817</v>
      </c>
    </row>
    <row r="4">
      <c r="A4" s="2" t="s">
        <v>117</v>
      </c>
      <c r="B4" s="1" t="str">
        <f>IFERROR(__xludf.DUMMYFUNCTION("REGEXEXTRACT(A4, ""Month\d+"")"),"Month1")</f>
        <v>Month1</v>
      </c>
      <c r="C4" s="1" t="str">
        <f>IFERROR(__xludf.DUMMYFUNCTION("REGEXEXTRACT(A4, ""#([A-Z])#"")
"),"E")</f>
        <v>E</v>
      </c>
      <c r="D4" s="1" t="str">
        <f>IFERROR(__xludf.DUMMYFUNCTION("REGEXEXTRACT(A4, ""City_([^/]+)"")"),"Chennai")</f>
        <v>Chennai</v>
      </c>
      <c r="E4" s="1" t="str">
        <f>IFERROR(__xludf.DUMMYFUNCTION("REGEXEXTRACT(A4, ""PRD-([^/]+)"")"),"PowerSip")</f>
        <v>PowerSip</v>
      </c>
      <c r="F4" s="1" t="str">
        <f>IFERROR(__xludf.DUMMYFUNCTION("REGEXEXTRACT(A4, ""OPQ\s+(\d+)"")"),"11470")</f>
        <v>11470</v>
      </c>
      <c r="G4" s="1" t="str">
        <f>IFERROR(__xludf.DUMMYFUNCTION("REGEXEXTRACT(A4, ""NPQ\[.*?\](\d+)"")"),"12044")</f>
        <v>12044</v>
      </c>
    </row>
    <row r="5">
      <c r="A5" s="2" t="s">
        <v>118</v>
      </c>
      <c r="B5" s="1" t="str">
        <f>IFERROR(__xludf.DUMMYFUNCTION("REGEXEXTRACT(A5, ""Month\d+"")"),"Month1")</f>
        <v>Month1</v>
      </c>
      <c r="C5" s="1" t="str">
        <f>IFERROR(__xludf.DUMMYFUNCTION("REGEXEXTRACT(A5, ""#([A-Z])#"")
"),"E")</f>
        <v>E</v>
      </c>
      <c r="D5" s="1" t="str">
        <f>IFERROR(__xludf.DUMMYFUNCTION("REGEXEXTRACT(A5, ""City_([^/]+)"")"),"Chennai")</f>
        <v>Chennai</v>
      </c>
      <c r="E5" s="1" t="str">
        <f>IFERROR(__xludf.DUMMYFUNCTION("REGEXEXTRACT(A5, ""PRD-([^/]+)"")"),"HappyGrow")</f>
        <v>HappyGrow</v>
      </c>
      <c r="F5" s="1" t="str">
        <f>IFERROR(__xludf.DUMMYFUNCTION("REGEXEXTRACT(A5, ""OPQ\s+(\d+)"")"),"22348")</f>
        <v>22348</v>
      </c>
      <c r="G5" s="1" t="str">
        <f>IFERROR(__xludf.DUMMYFUNCTION("REGEXEXTRACT(A5, ""NPQ\[.*?\](\d+)"")"),"22572")</f>
        <v>22572</v>
      </c>
    </row>
    <row r="6">
      <c r="A6" s="2" t="s">
        <v>119</v>
      </c>
      <c r="B6" s="1" t="str">
        <f>IFERROR(__xludf.DUMMYFUNCTION("REGEXEXTRACT(A6, ""Month\d+"")"),"Month1")</f>
        <v>Month1</v>
      </c>
      <c r="C6" s="1" t="str">
        <f>IFERROR(__xludf.DUMMYFUNCTION("REGEXEXTRACT(A6, ""#([A-Z])#"")
"),"W")</f>
        <v>W</v>
      </c>
      <c r="D6" s="1" t="str">
        <f>IFERROR(__xludf.DUMMYFUNCTION("REGEXEXTRACT(A6, ""City_([^/]+)"")"),"Chennai")</f>
        <v>Chennai</v>
      </c>
      <c r="E6" s="1" t="str">
        <f>IFERROR(__xludf.DUMMYFUNCTION("REGEXEXTRACT(A6, ""PRD-([^/]+)"")"),"PowerSip")</f>
        <v>PowerSip</v>
      </c>
      <c r="F6" s="1" t="str">
        <f>IFERROR(__xludf.DUMMYFUNCTION("REGEXEXTRACT(A6, ""OPQ\s+(\d+)"")"),"13727")</f>
        <v>13727</v>
      </c>
      <c r="G6" s="1" t="str">
        <f>IFERROR(__xludf.DUMMYFUNCTION("REGEXEXTRACT(A6, ""NPQ\[.*?\](\d+)"")"),"14551")</f>
        <v>14551</v>
      </c>
    </row>
    <row r="7">
      <c r="A7" s="2" t="s">
        <v>120</v>
      </c>
      <c r="B7" s="1" t="str">
        <f>IFERROR(__xludf.DUMMYFUNCTION("REGEXEXTRACT(A7, ""Month\d+"")"),"Month1")</f>
        <v>Month1</v>
      </c>
      <c r="C7" s="1" t="str">
        <f>IFERROR(__xludf.DUMMYFUNCTION("REGEXEXTRACT(A7, ""#([A-Z])#"")
"),"W")</f>
        <v>W</v>
      </c>
      <c r="D7" s="1" t="str">
        <f>IFERROR(__xludf.DUMMYFUNCTION("REGEXEXTRACT(A7, ""City_([^/]+)"")"),"Chennai")</f>
        <v>Chennai</v>
      </c>
      <c r="E7" s="1" t="str">
        <f>IFERROR(__xludf.DUMMYFUNCTION("REGEXEXTRACT(A7, ""PRD-([^/]+)"")"),"HappyGrow")</f>
        <v>HappyGrow</v>
      </c>
      <c r="F7" s="1" t="str">
        <f>IFERROR(__xludf.DUMMYFUNCTION("REGEXEXTRACT(A7, ""OPQ\s+(\d+)"")"),"15799")</f>
        <v>15799</v>
      </c>
      <c r="G7" s="1" t="str">
        <f>IFERROR(__xludf.DUMMYFUNCTION("REGEXEXTRACT(A7, ""NPQ\[.*?\](\d+)"")"),"15957")</f>
        <v>15957</v>
      </c>
    </row>
    <row r="8">
      <c r="A8" s="2" t="s">
        <v>121</v>
      </c>
      <c r="B8" s="1" t="str">
        <f>IFERROR(__xludf.DUMMYFUNCTION("REGEXEXTRACT(A8, ""Month\d+"")"),"Month1")</f>
        <v>Month1</v>
      </c>
      <c r="C8" s="1" t="str">
        <f>IFERROR(__xludf.DUMMYFUNCTION("REGEXEXTRACT(A8, ""#([A-Z])#"")
"),"S")</f>
        <v>S</v>
      </c>
      <c r="D8" s="1" t="str">
        <f>IFERROR(__xludf.DUMMYFUNCTION("REGEXEXTRACT(A8, ""City_([^/]+)"")"),"Chennai")</f>
        <v>Chennai</v>
      </c>
      <c r="E8" s="1" t="str">
        <f>IFERROR(__xludf.DUMMYFUNCTION("REGEXEXTRACT(A8, ""PRD-([^/]+)"")"),"PowerSip")</f>
        <v>PowerSip</v>
      </c>
      <c r="F8" s="1" t="str">
        <f>IFERROR(__xludf.DUMMYFUNCTION("REGEXEXTRACT(A8, ""OPQ\s+(\d+)"")"),"24827")</f>
        <v>24827</v>
      </c>
      <c r="G8" s="1" t="str">
        <f>IFERROR(__xludf.DUMMYFUNCTION("REGEXEXTRACT(A8, ""NPQ\[.*?\](\d+)"")"),"26565")</f>
        <v>26565</v>
      </c>
    </row>
    <row r="9">
      <c r="A9" s="2" t="s">
        <v>122</v>
      </c>
      <c r="B9" s="1" t="str">
        <f>IFERROR(__xludf.DUMMYFUNCTION("REGEXEXTRACT(A9, ""Month\d+"")"),"Month1")</f>
        <v>Month1</v>
      </c>
      <c r="C9" s="1" t="str">
        <f>IFERROR(__xludf.DUMMYFUNCTION("REGEXEXTRACT(A9, ""#([A-Z])#"")
"),"S")</f>
        <v>S</v>
      </c>
      <c r="D9" s="1" t="str">
        <f>IFERROR(__xludf.DUMMYFUNCTION("REGEXEXTRACT(A9, ""City_([^/]+)"")"),"Chennai")</f>
        <v>Chennai</v>
      </c>
      <c r="E9" s="1" t="str">
        <f>IFERROR(__xludf.DUMMYFUNCTION("REGEXEXTRACT(A9, ""PRD-([^/]+)"")"),"HappyGrow")</f>
        <v>HappyGrow</v>
      </c>
      <c r="F9" s="1" t="str">
        <f>IFERROR(__xludf.DUMMYFUNCTION("REGEXEXTRACT(A9, ""OPQ\s+(\d+)"")"),"13468")</f>
        <v>13468</v>
      </c>
      <c r="G9" s="1" t="str">
        <f>IFERROR(__xludf.DUMMYFUNCTION("REGEXEXTRACT(A9, ""NPQ\[.*?\](\d+)"")"),"13603")</f>
        <v>13603</v>
      </c>
    </row>
    <row r="10">
      <c r="A10" s="2" t="s">
        <v>123</v>
      </c>
      <c r="B10" s="1" t="str">
        <f>IFERROR(__xludf.DUMMYFUNCTION("REGEXEXTRACT(A10, ""Month\d+"")"),"Month1")</f>
        <v>Month1</v>
      </c>
      <c r="C10" s="1" t="str">
        <f>IFERROR(__xludf.DUMMYFUNCTION("REGEXEXTRACT(A10, ""#([A-Z])#"")
"),"N")</f>
        <v>N</v>
      </c>
      <c r="D10" s="1" t="str">
        <f>IFERROR(__xludf.DUMMYFUNCTION("REGEXEXTRACT(A10, ""City_([^/]+)"")"),"Mumbai")</f>
        <v>Mumbai</v>
      </c>
      <c r="E10" s="1" t="str">
        <f>IFERROR(__xludf.DUMMYFUNCTION("REGEXEXTRACT(A10, ""PRD-([^/]+)"")"),"PowerSip")</f>
        <v>PowerSip</v>
      </c>
      <c r="F10" s="1" t="str">
        <f>IFERROR(__xludf.DUMMYFUNCTION("REGEXEXTRACT(A10, ""OPQ\s+(\d+)"")"),"22237")</f>
        <v>22237</v>
      </c>
      <c r="G10" s="1" t="str">
        <f>IFERROR(__xludf.DUMMYFUNCTION("REGEXEXTRACT(A10, ""NPQ\[.*?\](\d+)"")"),"23794")</f>
        <v>23794</v>
      </c>
    </row>
    <row r="11">
      <c r="A11" s="2" t="s">
        <v>124</v>
      </c>
      <c r="B11" s="1" t="str">
        <f>IFERROR(__xludf.DUMMYFUNCTION("REGEXEXTRACT(A11, ""Month\d+"")"),"Month1")</f>
        <v>Month1</v>
      </c>
      <c r="C11" s="1" t="str">
        <f>IFERROR(__xludf.DUMMYFUNCTION("REGEXEXTRACT(A11, ""#([A-Z])#"")
"),"N")</f>
        <v>N</v>
      </c>
      <c r="D11" s="1" t="str">
        <f>IFERROR(__xludf.DUMMYFUNCTION("REGEXEXTRACT(A11, ""City_([^/]+)"")"),"Mumbai")</f>
        <v>Mumbai</v>
      </c>
      <c r="E11" s="1" t="str">
        <f>IFERROR(__xludf.DUMMYFUNCTION("REGEXEXTRACT(A11, ""PRD-([^/]+)"")"),"HappyGrow")</f>
        <v>HappyGrow</v>
      </c>
      <c r="F11" s="1" t="str">
        <f>IFERROR(__xludf.DUMMYFUNCTION("REGEXEXTRACT(A11, ""OPQ\s+(\d+)"")"),"23421")</f>
        <v>23421</v>
      </c>
      <c r="G11" s="1" t="str">
        <f>IFERROR(__xludf.DUMMYFUNCTION("REGEXEXTRACT(A11, ""NPQ\[.*?\](\d+)"")"),"23656")</f>
        <v>23656</v>
      </c>
    </row>
    <row r="12">
      <c r="A12" s="2" t="s">
        <v>125</v>
      </c>
      <c r="B12" s="1" t="str">
        <f>IFERROR(__xludf.DUMMYFUNCTION("REGEXEXTRACT(A12, ""Month\d+"")"),"Month1")</f>
        <v>Month1</v>
      </c>
      <c r="C12" s="1" t="str">
        <f>IFERROR(__xludf.DUMMYFUNCTION("REGEXEXTRACT(A12, ""#([A-Z])#"")
"),"E")</f>
        <v>E</v>
      </c>
      <c r="D12" s="1" t="str">
        <f>IFERROR(__xludf.DUMMYFUNCTION("REGEXEXTRACT(A12, ""City_([^/]+)"")"),"Mumbai")</f>
        <v>Mumbai</v>
      </c>
      <c r="E12" s="1" t="str">
        <f>IFERROR(__xludf.DUMMYFUNCTION("REGEXEXTRACT(A12, ""PRD-([^/]+)"")"),"PowerSip")</f>
        <v>PowerSip</v>
      </c>
      <c r="F12" s="1" t="str">
        <f>IFERROR(__xludf.DUMMYFUNCTION("REGEXEXTRACT(A12, ""OPQ\s+(\d+)"")"),"12469")</f>
        <v>12469</v>
      </c>
      <c r="G12" s="1" t="str">
        <f>IFERROR(__xludf.DUMMYFUNCTION("REGEXEXTRACT(A12, ""NPQ\[.*?\](\d+)"")"),"13467")</f>
        <v>13467</v>
      </c>
    </row>
    <row r="13">
      <c r="A13" s="2" t="s">
        <v>126</v>
      </c>
      <c r="B13" s="1" t="str">
        <f>IFERROR(__xludf.DUMMYFUNCTION("REGEXEXTRACT(A13, ""Month\d+"")"),"Month1")</f>
        <v>Month1</v>
      </c>
      <c r="C13" s="1" t="str">
        <f>IFERROR(__xludf.DUMMYFUNCTION("REGEXEXTRACT(A13, ""#([A-Z])#"")
"),"E")</f>
        <v>E</v>
      </c>
      <c r="D13" s="1" t="str">
        <f>IFERROR(__xludf.DUMMYFUNCTION("REGEXEXTRACT(A13, ""City_([^/]+)"")"),"Mumbai")</f>
        <v>Mumbai</v>
      </c>
      <c r="E13" s="1" t="str">
        <f>IFERROR(__xludf.DUMMYFUNCTION("REGEXEXTRACT(A13, ""PRD-([^/]+)"")"),"HappyGrow")</f>
        <v>HappyGrow</v>
      </c>
      <c r="F13" s="1" t="str">
        <f>IFERROR(__xludf.DUMMYFUNCTION("REGEXEXTRACT(A13, ""OPQ\s+(\d+)"")"),"16354")</f>
        <v>16354</v>
      </c>
      <c r="G13" s="1" t="str">
        <f>IFERROR(__xludf.DUMMYFUNCTION("REGEXEXTRACT(A13, ""NPQ\[.*?\](\d+)"")"),"16518")</f>
        <v>16518</v>
      </c>
    </row>
    <row r="14">
      <c r="A14" s="2" t="s">
        <v>127</v>
      </c>
      <c r="B14" s="1" t="str">
        <f>IFERROR(__xludf.DUMMYFUNCTION("REGEXEXTRACT(A14, ""Month\d+"")"),"Month1")</f>
        <v>Month1</v>
      </c>
      <c r="C14" s="1" t="str">
        <f>IFERROR(__xludf.DUMMYFUNCTION("REGEXEXTRACT(A14, ""#([A-Z])#"")
"),"W")</f>
        <v>W</v>
      </c>
      <c r="D14" s="1" t="str">
        <f>IFERROR(__xludf.DUMMYFUNCTION("REGEXEXTRACT(A14, ""City_([^/]+)"")"),"Mumbai")</f>
        <v>Mumbai</v>
      </c>
      <c r="E14" s="1" t="str">
        <f>IFERROR(__xludf.DUMMYFUNCTION("REGEXEXTRACT(A14, ""PRD-([^/]+)"")"),"PowerSip")</f>
        <v>PowerSip</v>
      </c>
      <c r="F14" s="1" t="str">
        <f>IFERROR(__xludf.DUMMYFUNCTION("REGEXEXTRACT(A14, ""OPQ\s+(\d+)"")"),"19536")</f>
        <v>19536</v>
      </c>
      <c r="G14" s="1" t="str">
        <f>IFERROR(__xludf.DUMMYFUNCTION("REGEXEXTRACT(A14, ""NPQ\[.*?\](\d+)"")"),"21099")</f>
        <v>21099</v>
      </c>
    </row>
    <row r="15">
      <c r="A15" s="2" t="s">
        <v>128</v>
      </c>
      <c r="B15" s="1" t="str">
        <f>IFERROR(__xludf.DUMMYFUNCTION("REGEXEXTRACT(A15, ""Month\d+"")"),"Month1")</f>
        <v>Month1</v>
      </c>
      <c r="C15" s="1" t="str">
        <f>IFERROR(__xludf.DUMMYFUNCTION("REGEXEXTRACT(A15, ""#([A-Z])#"")
"),"W")</f>
        <v>W</v>
      </c>
      <c r="D15" s="1" t="str">
        <f>IFERROR(__xludf.DUMMYFUNCTION("REGEXEXTRACT(A15, ""City_([^/]+)"")"),"Mumbai")</f>
        <v>Mumbai</v>
      </c>
      <c r="E15" s="1" t="str">
        <f>IFERROR(__xludf.DUMMYFUNCTION("REGEXEXTRACT(A15, ""PRD-([^/]+)"")"),"HappyGrow")</f>
        <v>HappyGrow</v>
      </c>
      <c r="F15" s="1" t="str">
        <f>IFERROR(__xludf.DUMMYFUNCTION("REGEXEXTRACT(A15, ""OPQ\s+(\d+)"")"),"11359")</f>
        <v>11359</v>
      </c>
      <c r="G15" s="1" t="str">
        <f>IFERROR(__xludf.DUMMYFUNCTION("REGEXEXTRACT(A15, ""NPQ\[.*?\](\d+)"")"),"11587")</f>
        <v>11587</v>
      </c>
    </row>
    <row r="16">
      <c r="A16" s="2" t="s">
        <v>129</v>
      </c>
      <c r="B16" s="1" t="str">
        <f>IFERROR(__xludf.DUMMYFUNCTION("REGEXEXTRACT(A16, ""Month\d+"")"),"Month1")</f>
        <v>Month1</v>
      </c>
      <c r="C16" s="1" t="str">
        <f>IFERROR(__xludf.DUMMYFUNCTION("REGEXEXTRACT(A16, ""#([A-Z])#"")
"),"S")</f>
        <v>S</v>
      </c>
      <c r="D16" s="1" t="str">
        <f>IFERROR(__xludf.DUMMYFUNCTION("REGEXEXTRACT(A16, ""City_([^/]+)"")"),"Mumbai")</f>
        <v>Mumbai</v>
      </c>
      <c r="E16" s="1" t="str">
        <f>IFERROR(__xludf.DUMMYFUNCTION("REGEXEXTRACT(A16, ""PRD-([^/]+)"")"),"PowerSip")</f>
        <v>PowerSip</v>
      </c>
      <c r="F16" s="1" t="str">
        <f>IFERROR(__xludf.DUMMYFUNCTION("REGEXEXTRACT(A16, ""OPQ\s+(\d+)"")"),"12062")</f>
        <v>12062</v>
      </c>
      <c r="G16" s="1" t="str">
        <f>IFERROR(__xludf.DUMMYFUNCTION("REGEXEXTRACT(A16, ""NPQ\[.*?\](\d+)"")"),"13148")</f>
        <v>13148</v>
      </c>
    </row>
    <row r="17">
      <c r="A17" s="2" t="s">
        <v>130</v>
      </c>
      <c r="B17" s="1" t="str">
        <f>IFERROR(__xludf.DUMMYFUNCTION("REGEXEXTRACT(A17, ""Month\d+"")"),"Month1")</f>
        <v>Month1</v>
      </c>
      <c r="C17" s="1" t="str">
        <f>IFERROR(__xludf.DUMMYFUNCTION("REGEXEXTRACT(A17, ""#([A-Z])#"")
"),"S")</f>
        <v>S</v>
      </c>
      <c r="D17" s="1" t="str">
        <f>IFERROR(__xludf.DUMMYFUNCTION("REGEXEXTRACT(A17, ""City_([^/]+)"")"),"Mumbai")</f>
        <v>Mumbai</v>
      </c>
      <c r="E17" s="1" t="str">
        <f>IFERROR(__xludf.DUMMYFUNCTION("REGEXEXTRACT(A17, ""PRD-([^/]+)"")"),"HappyGrow")</f>
        <v>HappyGrow</v>
      </c>
      <c r="F17" s="1" t="str">
        <f>IFERROR(__xludf.DUMMYFUNCTION("REGEXEXTRACT(A17, ""OPQ\s+(\d+)"")"),"13579")</f>
        <v>13579</v>
      </c>
      <c r="G17" s="1" t="str">
        <f>IFERROR(__xludf.DUMMYFUNCTION("REGEXEXTRACT(A17, ""NPQ\[.*?\](\d+)"")"),"13851")</f>
        <v>13851</v>
      </c>
    </row>
    <row r="18">
      <c r="A18" s="2" t="s">
        <v>131</v>
      </c>
      <c r="B18" s="1" t="str">
        <f>IFERROR(__xludf.DUMMYFUNCTION("REGEXEXTRACT(A18, ""Month\d+"")"),"Month1")</f>
        <v>Month1</v>
      </c>
      <c r="C18" s="1" t="str">
        <f>IFERROR(__xludf.DUMMYFUNCTION("REGEXEXTRACT(A18, ""#([A-Z])#"")
"),"N")</f>
        <v>N</v>
      </c>
      <c r="D18" s="1" t="str">
        <f>IFERROR(__xludf.DUMMYFUNCTION("REGEXEXTRACT(A18, ""City_([^/]+)"")"),"Bengaluru")</f>
        <v>Bengaluru</v>
      </c>
      <c r="E18" s="1" t="str">
        <f>IFERROR(__xludf.DUMMYFUNCTION("REGEXEXTRACT(A18, ""PRD-([^/]+)"")"),"PowerSip")</f>
        <v>PowerSip</v>
      </c>
      <c r="F18" s="1" t="str">
        <f>IFERROR(__xludf.DUMMYFUNCTION("REGEXEXTRACT(A18, ""OPQ\s+(\d+)"")"),"21275")</f>
        <v>21275</v>
      </c>
      <c r="G18" s="1" t="str">
        <f>IFERROR(__xludf.DUMMYFUNCTION("REGEXEXTRACT(A18, ""NPQ\[.*?\](\d+)"")"),"23190")</f>
        <v>23190</v>
      </c>
    </row>
    <row r="19">
      <c r="A19" s="2" t="s">
        <v>132</v>
      </c>
      <c r="B19" s="1" t="str">
        <f>IFERROR(__xludf.DUMMYFUNCTION("REGEXEXTRACT(A19, ""Month\d+"")"),"Month1")</f>
        <v>Month1</v>
      </c>
      <c r="C19" s="1" t="str">
        <f>IFERROR(__xludf.DUMMYFUNCTION("REGEXEXTRACT(A19, ""#([A-Z])#"")
"),"N")</f>
        <v>N</v>
      </c>
      <c r="D19" s="1" t="str">
        <f>IFERROR(__xludf.DUMMYFUNCTION("REGEXEXTRACT(A19, ""City_([^/]+)"")"),"Bengaluru")</f>
        <v>Bengaluru</v>
      </c>
      <c r="E19" s="1" t="str">
        <f>IFERROR(__xludf.DUMMYFUNCTION("REGEXEXTRACT(A19, ""PRD-([^/]+)"")"),"HappyGrow")</f>
        <v>HappyGrow</v>
      </c>
      <c r="F19" s="1" t="str">
        <f>IFERROR(__xludf.DUMMYFUNCTION("REGEXEXTRACT(A19, ""OPQ\s+(\d+)"")"),"18611")</f>
        <v>18611</v>
      </c>
      <c r="G19" s="1" t="str">
        <f>IFERROR(__xludf.DUMMYFUNCTION("REGEXEXTRACT(A19, ""NPQ\[.*?\](\d+)"")"),"18984")</f>
        <v>18984</v>
      </c>
    </row>
    <row r="20">
      <c r="A20" s="2" t="s">
        <v>133</v>
      </c>
      <c r="B20" s="1" t="str">
        <f>IFERROR(__xludf.DUMMYFUNCTION("REGEXEXTRACT(A20, ""Month\d+"")"),"Month1")</f>
        <v>Month1</v>
      </c>
      <c r="C20" s="1" t="str">
        <f>IFERROR(__xludf.DUMMYFUNCTION("REGEXEXTRACT(A20, ""#([A-Z])#"")
"),"E")</f>
        <v>E</v>
      </c>
      <c r="D20" s="1" t="str">
        <f>IFERROR(__xludf.DUMMYFUNCTION("REGEXEXTRACT(A20, ""City_([^/]+)"")"),"Bengaluru")</f>
        <v>Bengaluru</v>
      </c>
      <c r="E20" s="1" t="str">
        <f>IFERROR(__xludf.DUMMYFUNCTION("REGEXEXTRACT(A20, ""PRD-([^/]+)"")"),"PowerSip")</f>
        <v>PowerSip</v>
      </c>
      <c r="F20" s="1" t="str">
        <f>IFERROR(__xludf.DUMMYFUNCTION("REGEXEXTRACT(A20, ""OPQ\s+(\d+)"")"),"24050")</f>
        <v>24050</v>
      </c>
      <c r="G20" s="1" t="str">
        <f>IFERROR(__xludf.DUMMYFUNCTION("REGEXEXTRACT(A20, ""NPQ\[.*?\](\d+)"")"),"26215")</f>
        <v>26215</v>
      </c>
    </row>
    <row r="21">
      <c r="A21" s="2" t="s">
        <v>134</v>
      </c>
      <c r="B21" s="1" t="str">
        <f>IFERROR(__xludf.DUMMYFUNCTION("REGEXEXTRACT(A21, ""Month\d+"")"),"Month1")</f>
        <v>Month1</v>
      </c>
      <c r="C21" s="1" t="str">
        <f>IFERROR(__xludf.DUMMYFUNCTION("REGEXEXTRACT(A21, ""#([A-Z])#"")
"),"E")</f>
        <v>E</v>
      </c>
      <c r="D21" s="1" t="str">
        <f>IFERROR(__xludf.DUMMYFUNCTION("REGEXEXTRACT(A21, ""City_([^/]+)"")"),"Bengaluru")</f>
        <v>Bengaluru</v>
      </c>
      <c r="E21" s="1" t="str">
        <f>IFERROR(__xludf.DUMMYFUNCTION("REGEXEXTRACT(A21, ""PRD-([^/]+)"")"),"HappyGrow")</f>
        <v>HappyGrow</v>
      </c>
      <c r="F21" s="1" t="str">
        <f>IFERROR(__xludf.DUMMYFUNCTION("REGEXEXTRACT(A21, ""OPQ\s+(\d+)"")"),"15133")</f>
        <v>15133</v>
      </c>
      <c r="G21" s="1" t="str">
        <f>IFERROR(__xludf.DUMMYFUNCTION("REGEXEXTRACT(A21, ""NPQ\[.*?\](\d+)"")"),"15436")</f>
        <v>15436</v>
      </c>
    </row>
    <row r="22">
      <c r="A22" s="2" t="s">
        <v>135</v>
      </c>
      <c r="B22" s="1" t="str">
        <f>IFERROR(__xludf.DUMMYFUNCTION("REGEXEXTRACT(A22, ""Month\d+"")"),"Month1")</f>
        <v>Month1</v>
      </c>
      <c r="C22" s="1" t="str">
        <f>IFERROR(__xludf.DUMMYFUNCTION("REGEXEXTRACT(A22, ""#([A-Z])#"")
"),"W")</f>
        <v>W</v>
      </c>
      <c r="D22" s="1" t="str">
        <f>IFERROR(__xludf.DUMMYFUNCTION("REGEXEXTRACT(A22, ""City_([^/]+)"")"),"Bengaluru")</f>
        <v>Bengaluru</v>
      </c>
      <c r="E22" s="1" t="str">
        <f>IFERROR(__xludf.DUMMYFUNCTION("REGEXEXTRACT(A22, ""PRD-([^/]+)"")"),"PowerSip")</f>
        <v>PowerSip</v>
      </c>
      <c r="F22" s="1" t="str">
        <f>IFERROR(__xludf.DUMMYFUNCTION("REGEXEXTRACT(A22, ""OPQ\s+(\d+)"")"),"17834")</f>
        <v>17834</v>
      </c>
      <c r="G22" s="1" t="str">
        <f>IFERROR(__xludf.DUMMYFUNCTION("REGEXEXTRACT(A22, ""NPQ\[.*?\](\d+)"")"),"19618")</f>
        <v>19618</v>
      </c>
    </row>
    <row r="23">
      <c r="A23" s="2" t="s">
        <v>136</v>
      </c>
      <c r="B23" s="1" t="str">
        <f>IFERROR(__xludf.DUMMYFUNCTION("REGEXEXTRACT(A23, ""Month\d+"")"),"Month1")</f>
        <v>Month1</v>
      </c>
      <c r="C23" s="1" t="str">
        <f>IFERROR(__xludf.DUMMYFUNCTION("REGEXEXTRACT(A23, ""#([A-Z])#"")
"),"W")</f>
        <v>W</v>
      </c>
      <c r="D23" s="1" t="str">
        <f>IFERROR(__xludf.DUMMYFUNCTION("REGEXEXTRACT(A23, ""City_([^/]+)"")"),"Bengaluru")</f>
        <v>Bengaluru</v>
      </c>
      <c r="E23" s="1" t="str">
        <f>IFERROR(__xludf.DUMMYFUNCTION("REGEXEXTRACT(A23, ""PRD-([^/]+)"")"),"HappyGrow")</f>
        <v>HappyGrow</v>
      </c>
      <c r="F23" s="1" t="str">
        <f>IFERROR(__xludf.DUMMYFUNCTION("REGEXEXTRACT(A23, ""OPQ\s+(\d+)"")"),"14097")</f>
        <v>14097</v>
      </c>
      <c r="G23" s="1" t="str">
        <f>IFERROR(__xludf.DUMMYFUNCTION("REGEXEXTRACT(A23, ""NPQ\[.*?\](\d+)"")"),"14520")</f>
        <v>14520</v>
      </c>
    </row>
    <row r="24">
      <c r="A24" s="2" t="s">
        <v>137</v>
      </c>
      <c r="B24" s="1" t="str">
        <f>IFERROR(__xludf.DUMMYFUNCTION("REGEXEXTRACT(A24, ""Month\d+"")"),"Month1")</f>
        <v>Month1</v>
      </c>
      <c r="C24" s="1" t="str">
        <f>IFERROR(__xludf.DUMMYFUNCTION("REGEXEXTRACT(A24, ""#([A-Z])#"")
"),"S")</f>
        <v>S</v>
      </c>
      <c r="D24" s="1" t="str">
        <f>IFERROR(__xludf.DUMMYFUNCTION("REGEXEXTRACT(A24, ""City_([^/]+)"")"),"Bengaluru")</f>
        <v>Bengaluru</v>
      </c>
      <c r="E24" s="1" t="str">
        <f>IFERROR(__xludf.DUMMYFUNCTION("REGEXEXTRACT(A24, ""PRD-([^/]+)"")"),"PowerSip")</f>
        <v>PowerSip</v>
      </c>
      <c r="F24" s="1" t="str">
        <f>IFERROR(__xludf.DUMMYFUNCTION("REGEXEXTRACT(A24, ""OPQ\s+(\d+)"")"),"24642")</f>
        <v>24642</v>
      </c>
      <c r="G24" s="1" t="str">
        <f>IFERROR(__xludf.DUMMYFUNCTION("REGEXEXTRACT(A24, ""NPQ\[.*?\](\d+)"")"),"27353")</f>
        <v>27353</v>
      </c>
    </row>
    <row r="25">
      <c r="A25" s="2" t="s">
        <v>138</v>
      </c>
      <c r="B25" s="1" t="str">
        <f>IFERROR(__xludf.DUMMYFUNCTION("REGEXEXTRACT(A25, ""Month\d+"")"),"Month1")</f>
        <v>Month1</v>
      </c>
      <c r="C25" s="1" t="str">
        <f>IFERROR(__xludf.DUMMYFUNCTION("REGEXEXTRACT(A25, ""#([A-Z])#"")
"),"S")</f>
        <v>S</v>
      </c>
      <c r="D25" s="1" t="str">
        <f>IFERROR(__xludf.DUMMYFUNCTION("REGEXEXTRACT(A25, ""City_([^/]+)"")"),"Bengaluru")</f>
        <v>Bengaluru</v>
      </c>
      <c r="E25" s="1" t="str">
        <f>IFERROR(__xludf.DUMMYFUNCTION("REGEXEXTRACT(A25, ""PRD-([^/]+)"")"),"HappyGrow")</f>
        <v>HappyGrow</v>
      </c>
      <c r="F25" s="1" t="str">
        <f>IFERROR(__xludf.DUMMYFUNCTION("REGEXEXTRACT(A25, ""OPQ\s+(\d+)"")"),"24864")</f>
        <v>24864</v>
      </c>
      <c r="G25" s="1" t="str">
        <f>IFERROR(__xludf.DUMMYFUNCTION("REGEXEXTRACT(A25, ""NPQ\[.*?\](\d+)"")"),"25610")</f>
        <v>25610</v>
      </c>
    </row>
    <row r="26">
      <c r="A26" s="2" t="s">
        <v>139</v>
      </c>
      <c r="B26" s="1" t="str">
        <f>IFERROR(__xludf.DUMMYFUNCTION("REGEXEXTRACT(A26, ""Month\d+"")"),"Month1")</f>
        <v>Month1</v>
      </c>
      <c r="C26" s="1" t="str">
        <f>IFERROR(__xludf.DUMMYFUNCTION("REGEXEXTRACT(A26, ""#([A-Z])#"")
"),"N")</f>
        <v>N</v>
      </c>
      <c r="D26" s="1" t="str">
        <f>IFERROR(__xludf.DUMMYFUNCTION("REGEXEXTRACT(A26, ""City_([^/]+)"")"),"Delhi")</f>
        <v>Delhi</v>
      </c>
      <c r="E26" s="1" t="str">
        <f>IFERROR(__xludf.DUMMYFUNCTION("REGEXEXTRACT(A26, ""PRD-([^/]+)"")"),"PowerSip")</f>
        <v>PowerSip</v>
      </c>
      <c r="F26" s="1" t="str">
        <f>IFERROR(__xludf.DUMMYFUNCTION("REGEXEXTRACT(A26, ""OPQ\s+(\d+)"")"),"19832")</f>
        <v>19832</v>
      </c>
      <c r="G26" s="1" t="str">
        <f>IFERROR(__xludf.DUMMYFUNCTION("REGEXEXTRACT(A26, ""NPQ\[.*?\](\d+)"")"),"22212")</f>
        <v>22212</v>
      </c>
    </row>
    <row r="27">
      <c r="A27" s="2" t="s">
        <v>140</v>
      </c>
      <c r="B27" s="1" t="str">
        <f>IFERROR(__xludf.DUMMYFUNCTION("REGEXEXTRACT(A27, ""Month\d+"")"),"Month1")</f>
        <v>Month1</v>
      </c>
      <c r="C27" s="1" t="str">
        <f>IFERROR(__xludf.DUMMYFUNCTION("REGEXEXTRACT(A27, ""#([A-Z])#"")
"),"N")</f>
        <v>N</v>
      </c>
      <c r="D27" s="1" t="str">
        <f>IFERROR(__xludf.DUMMYFUNCTION("REGEXEXTRACT(A27, ""City_([^/]+)"")"),"Delhi")</f>
        <v>Delhi</v>
      </c>
      <c r="E27" s="1" t="str">
        <f>IFERROR(__xludf.DUMMYFUNCTION("REGEXEXTRACT(A27, ""PRD-([^/]+)"")"),"HappyGrow")</f>
        <v>HappyGrow</v>
      </c>
      <c r="F27" s="1" t="str">
        <f>IFERROR(__xludf.DUMMYFUNCTION("REGEXEXTRACT(A27, ""OPQ\s+(\d+)"")"),"12321")</f>
        <v>12321</v>
      </c>
      <c r="G27" s="1" t="str">
        <f>IFERROR(__xludf.DUMMYFUNCTION("REGEXEXTRACT(A27, ""NPQ\[.*?\](\d+)"")"),"12691")</f>
        <v>12691</v>
      </c>
    </row>
    <row r="28">
      <c r="A28" s="2" t="s">
        <v>141</v>
      </c>
      <c r="B28" s="1" t="str">
        <f>IFERROR(__xludf.DUMMYFUNCTION("REGEXEXTRACT(A28, ""Month\d+"")"),"Month1")</f>
        <v>Month1</v>
      </c>
      <c r="C28" s="1" t="str">
        <f>IFERROR(__xludf.DUMMYFUNCTION("REGEXEXTRACT(A28, ""#([A-Z])#"")
"),"E")</f>
        <v>E</v>
      </c>
      <c r="D28" s="1" t="str">
        <f>IFERROR(__xludf.DUMMYFUNCTION("REGEXEXTRACT(A28, ""City_([^/]+)"")"),"Delhi")</f>
        <v>Delhi</v>
      </c>
      <c r="E28" s="1" t="str">
        <f>IFERROR(__xludf.DUMMYFUNCTION("REGEXEXTRACT(A28, ""PRD-([^/]+)"")"),"PowerSip")</f>
        <v>PowerSip</v>
      </c>
      <c r="F28" s="1" t="str">
        <f>IFERROR(__xludf.DUMMYFUNCTION("REGEXEXTRACT(A28, ""OPQ\s+(\d+)"")"),"21571")</f>
        <v>21571</v>
      </c>
      <c r="G28" s="1" t="str">
        <f>IFERROR(__xludf.DUMMYFUNCTION("REGEXEXTRACT(A28, ""NPQ\[.*?\](\d+)"")"),"24160")</f>
        <v>24160</v>
      </c>
    </row>
    <row r="29">
      <c r="A29" s="2" t="s">
        <v>142</v>
      </c>
      <c r="B29" s="1" t="str">
        <f>IFERROR(__xludf.DUMMYFUNCTION("REGEXEXTRACT(A29, ""Month\d+"")"),"Month1")</f>
        <v>Month1</v>
      </c>
      <c r="C29" s="1" t="str">
        <f>IFERROR(__xludf.DUMMYFUNCTION("REGEXEXTRACT(A29, ""#([A-Z])#"")
"),"E")</f>
        <v>E</v>
      </c>
      <c r="D29" s="1" t="str">
        <f>IFERROR(__xludf.DUMMYFUNCTION("REGEXEXTRACT(A29, ""City_([^/]+)"")"),"Delhi")</f>
        <v>Delhi</v>
      </c>
      <c r="E29" s="1" t="str">
        <f>IFERROR(__xludf.DUMMYFUNCTION("REGEXEXTRACT(A29, ""PRD-([^/]+)"")"),"HappyGrow")</f>
        <v>HappyGrow</v>
      </c>
      <c r="F29" s="1" t="str">
        <f>IFERROR(__xludf.DUMMYFUNCTION("REGEXEXTRACT(A29, ""OPQ\s+(\d+)"")"),"13320")</f>
        <v>13320</v>
      </c>
      <c r="G29" s="1" t="str">
        <f>IFERROR(__xludf.DUMMYFUNCTION("REGEXEXTRACT(A29, ""NPQ\[.*?\](\d+)"")"),"13853")</f>
        <v>13853</v>
      </c>
    </row>
    <row r="30">
      <c r="A30" s="2" t="s">
        <v>143</v>
      </c>
      <c r="B30" s="1" t="str">
        <f>IFERROR(__xludf.DUMMYFUNCTION("REGEXEXTRACT(A30, ""Month\d+"")"),"Month1")</f>
        <v>Month1</v>
      </c>
      <c r="C30" s="1" t="str">
        <f>IFERROR(__xludf.DUMMYFUNCTION("REGEXEXTRACT(A30, ""#([A-Z])#"")
"),"W")</f>
        <v>W</v>
      </c>
      <c r="D30" s="1" t="str">
        <f>IFERROR(__xludf.DUMMYFUNCTION("REGEXEXTRACT(A30, ""City_([^/]+)"")"),"Delhi")</f>
        <v>Delhi</v>
      </c>
      <c r="E30" s="1" t="str">
        <f>IFERROR(__xludf.DUMMYFUNCTION("REGEXEXTRACT(A30, ""PRD-([^/]+)"")"),"PowerSip")</f>
        <v>PowerSip</v>
      </c>
      <c r="F30" s="1" t="str">
        <f>IFERROR(__xludf.DUMMYFUNCTION("REGEXEXTRACT(A30, ""OPQ\s+(\d+)"")"),"20091")</f>
        <v>20091</v>
      </c>
      <c r="G30" s="1" t="str">
        <f>IFERROR(__xludf.DUMMYFUNCTION("REGEXEXTRACT(A30, ""NPQ\[.*?\](\d+)"")"),"22502")</f>
        <v>22502</v>
      </c>
    </row>
    <row r="31">
      <c r="A31" s="2" t="s">
        <v>144</v>
      </c>
      <c r="B31" s="1" t="str">
        <f>IFERROR(__xludf.DUMMYFUNCTION("REGEXEXTRACT(A31, ""Month\d+"")"),"Month1")</f>
        <v>Month1</v>
      </c>
      <c r="C31" s="1" t="str">
        <f>IFERROR(__xludf.DUMMYFUNCTION("REGEXEXTRACT(A31, ""#([A-Z])#"")
"),"W")</f>
        <v>W</v>
      </c>
      <c r="D31" s="1" t="str">
        <f>IFERROR(__xludf.DUMMYFUNCTION("REGEXEXTRACT(A31, ""City_([^/]+)"")"),"Delhi")</f>
        <v>Delhi</v>
      </c>
      <c r="E31" s="1" t="str">
        <f>IFERROR(__xludf.DUMMYFUNCTION("REGEXEXTRACT(A31, ""PRD-([^/]+)"")"),"HappyGrow")</f>
        <v>HappyGrow</v>
      </c>
      <c r="F31" s="1" t="str">
        <f>IFERROR(__xludf.DUMMYFUNCTION("REGEXEXTRACT(A31, ""OPQ\s+(\d+)"")"),"15244")</f>
        <v>15244</v>
      </c>
      <c r="G31" s="1" t="str">
        <f>IFERROR(__xludf.DUMMYFUNCTION("REGEXEXTRACT(A31, ""NPQ\[.*?\](\d+)"")"),"15854")</f>
        <v>15854</v>
      </c>
    </row>
    <row r="32">
      <c r="A32" s="2" t="s">
        <v>145</v>
      </c>
      <c r="B32" s="1" t="str">
        <f>IFERROR(__xludf.DUMMYFUNCTION("REGEXEXTRACT(A32, ""Month\d+"")"),"Month1")</f>
        <v>Month1</v>
      </c>
      <c r="C32" s="1" t="str">
        <f>IFERROR(__xludf.DUMMYFUNCTION("REGEXEXTRACT(A32, ""#([A-Z])#"")
"),"S")</f>
        <v>S</v>
      </c>
      <c r="D32" s="1" t="str">
        <f>IFERROR(__xludf.DUMMYFUNCTION("REGEXEXTRACT(A32, ""City_([^/]+)"")"),"Delhi")</f>
        <v>Delhi</v>
      </c>
      <c r="E32" s="1" t="str">
        <f>IFERROR(__xludf.DUMMYFUNCTION("REGEXEXTRACT(A32, ""PRD-([^/]+)"")"),"PowerSip")</f>
        <v>PowerSip</v>
      </c>
      <c r="F32" s="1" t="str">
        <f>IFERROR(__xludf.DUMMYFUNCTION("REGEXEXTRACT(A32, ""OPQ\s+(\d+)"")"),"17316")</f>
        <v>17316</v>
      </c>
      <c r="G32" s="1" t="str">
        <f>IFERROR(__xludf.DUMMYFUNCTION("REGEXEXTRACT(A32, ""NPQ\[.*?\](\d+)"")"),"19394")</f>
        <v>19394</v>
      </c>
    </row>
    <row r="33">
      <c r="A33" s="2" t="s">
        <v>146</v>
      </c>
      <c r="B33" s="1" t="str">
        <f>IFERROR(__xludf.DUMMYFUNCTION("REGEXEXTRACT(A33, ""Month\d+"")"),"Month1")</f>
        <v>Month1</v>
      </c>
      <c r="C33" s="1" t="str">
        <f>IFERROR(__xludf.DUMMYFUNCTION("REGEXEXTRACT(A33, ""#([A-Z])#"")
"),"S")</f>
        <v>S</v>
      </c>
      <c r="D33" s="1" t="str">
        <f>IFERROR(__xludf.DUMMYFUNCTION("REGEXEXTRACT(A33, ""City_([^/]+)"")"),"Delhi")</f>
        <v>Delhi</v>
      </c>
      <c r="E33" s="1" t="str">
        <f>IFERROR(__xludf.DUMMYFUNCTION("REGEXEXTRACT(A33, ""PRD-([^/]+)"")"),"HappyGrow")</f>
        <v>HappyGrow</v>
      </c>
      <c r="F33" s="1" t="str">
        <f>IFERROR(__xludf.DUMMYFUNCTION("REGEXEXTRACT(A33, ""OPQ\s+(\d+)"")"),"22866")</f>
        <v>22866</v>
      </c>
      <c r="G33" s="1" t="str">
        <f>IFERROR(__xludf.DUMMYFUNCTION("REGEXEXTRACT(A33, ""NPQ\[.*?\](\d+)"")"),"23781")</f>
        <v>23781</v>
      </c>
    </row>
    <row r="34">
      <c r="A34" s="2" t="s">
        <v>147</v>
      </c>
      <c r="B34" s="1" t="str">
        <f>IFERROR(__xludf.DUMMYFUNCTION("REGEXEXTRACT(A34, ""Month\d+"")"),"Month2")</f>
        <v>Month2</v>
      </c>
      <c r="C34" s="1" t="str">
        <f>IFERROR(__xludf.DUMMYFUNCTION("REGEXEXTRACT(A34, ""#([A-Z])#"")
"),"N")</f>
        <v>N</v>
      </c>
      <c r="D34" s="1" t="str">
        <f>IFERROR(__xludf.DUMMYFUNCTION("REGEXEXTRACT(A34, ""City_([^/]+)"")"),"Chennai")</f>
        <v>Chennai</v>
      </c>
      <c r="E34" s="1" t="str">
        <f>IFERROR(__xludf.DUMMYFUNCTION("REGEXEXTRACT(A34, ""PRD-([^/]+)"")"),"PowerSip")</f>
        <v>PowerSip</v>
      </c>
      <c r="F34" s="1" t="str">
        <f>IFERROR(__xludf.DUMMYFUNCTION("REGEXEXTRACT(A34, ""OPQ\s+(\d+)"")"),"23647")</f>
        <v>23647</v>
      </c>
      <c r="G34" s="1" t="str">
        <f>IFERROR(__xludf.DUMMYFUNCTION("REGEXEXTRACT(A34, ""NPQ\[.*?\](\d+)"")"),"26485")</f>
        <v>26485</v>
      </c>
    </row>
    <row r="35">
      <c r="A35" s="2" t="s">
        <v>148</v>
      </c>
      <c r="B35" s="1" t="str">
        <f>IFERROR(__xludf.DUMMYFUNCTION("REGEXEXTRACT(A35, ""Month\d+"")"),"Month2")</f>
        <v>Month2</v>
      </c>
      <c r="C35" s="1" t="str">
        <f>IFERROR(__xludf.DUMMYFUNCTION("REGEXEXTRACT(A35, ""#([A-Z])#"")
"),"N")</f>
        <v>N</v>
      </c>
      <c r="D35" s="1" t="str">
        <f>IFERROR(__xludf.DUMMYFUNCTION("REGEXEXTRACT(A35, ""City_([^/]+)"")"),"Chennai")</f>
        <v>Chennai</v>
      </c>
      <c r="E35" s="1" t="str">
        <f>IFERROR(__xludf.DUMMYFUNCTION("REGEXEXTRACT(A35, ""PRD-([^/]+)"")"),"HappyGrow")</f>
        <v>HappyGrow</v>
      </c>
      <c r="F35" s="1" t="str">
        <f>IFERROR(__xludf.DUMMYFUNCTION("REGEXEXTRACT(A35, ""OPQ\s+(\d+)"")"),"17816")</f>
        <v>17816</v>
      </c>
      <c r="G35" s="1" t="str">
        <f>IFERROR(__xludf.DUMMYFUNCTION("REGEXEXTRACT(A35, ""NPQ\[.*?\](\d+)"")"),"18529")</f>
        <v>18529</v>
      </c>
    </row>
    <row r="36">
      <c r="A36" s="2" t="s">
        <v>149</v>
      </c>
      <c r="B36" s="1" t="str">
        <f>IFERROR(__xludf.DUMMYFUNCTION("REGEXEXTRACT(A36, ""Month\d+"")"),"Month2")</f>
        <v>Month2</v>
      </c>
      <c r="C36" s="1" t="str">
        <f>IFERROR(__xludf.DUMMYFUNCTION("REGEXEXTRACT(A36, ""#([A-Z])#"")
"),"E")</f>
        <v>E</v>
      </c>
      <c r="D36" s="1" t="str">
        <f>IFERROR(__xludf.DUMMYFUNCTION("REGEXEXTRACT(A36, ""City_([^/]+)"")"),"Chennai")</f>
        <v>Chennai</v>
      </c>
      <c r="E36" s="1" t="str">
        <f>IFERROR(__xludf.DUMMYFUNCTION("REGEXEXTRACT(A36, ""PRD-([^/]+)"")"),"PowerSip")</f>
        <v>PowerSip</v>
      </c>
      <c r="F36" s="1" t="str">
        <f>IFERROR(__xludf.DUMMYFUNCTION("REGEXEXTRACT(A36, ""OPQ\s+(\d+)"")"),"12617")</f>
        <v>12617</v>
      </c>
      <c r="G36" s="1" t="str">
        <f>IFERROR(__xludf.DUMMYFUNCTION("REGEXEXTRACT(A36, ""NPQ\[.*?\](\d+)"")"),"14258")</f>
        <v>14258</v>
      </c>
    </row>
    <row r="37">
      <c r="A37" s="2" t="s">
        <v>150</v>
      </c>
      <c r="B37" s="1" t="str">
        <f>IFERROR(__xludf.DUMMYFUNCTION("REGEXEXTRACT(A37, ""Month\d+"")"),"Month2")</f>
        <v>Month2</v>
      </c>
      <c r="C37" s="1" t="str">
        <f>IFERROR(__xludf.DUMMYFUNCTION("REGEXEXTRACT(A37, ""#([A-Z])#"")
"),"E")</f>
        <v>E</v>
      </c>
      <c r="D37" s="1" t="str">
        <f>IFERROR(__xludf.DUMMYFUNCTION("REGEXEXTRACT(A37, ""City_([^/]+)"")"),"Chennai")</f>
        <v>Chennai</v>
      </c>
      <c r="E37" s="1" t="str">
        <f>IFERROR(__xludf.DUMMYFUNCTION("REGEXEXTRACT(A37, ""PRD-([^/]+)"")"),"HappyGrow")</f>
        <v>HappyGrow</v>
      </c>
      <c r="F37" s="1" t="str">
        <f>IFERROR(__xludf.DUMMYFUNCTION("REGEXEXTRACT(A37, ""OPQ\s+(\d+)"")"),"23912")</f>
        <v>23912</v>
      </c>
      <c r="G37" s="1" t="str">
        <f>IFERROR(__xludf.DUMMYFUNCTION("REGEXEXTRACT(A37, ""NPQ\[.*?\](\d+)"")"),"25108")</f>
        <v>25108</v>
      </c>
    </row>
    <row r="38">
      <c r="A38" s="2" t="s">
        <v>151</v>
      </c>
      <c r="B38" s="1" t="str">
        <f>IFERROR(__xludf.DUMMYFUNCTION("REGEXEXTRACT(A38, ""Month\d+"")"),"Month2")</f>
        <v>Month2</v>
      </c>
      <c r="C38" s="1" t="str">
        <f>IFERROR(__xludf.DUMMYFUNCTION("REGEXEXTRACT(A38, ""#([A-Z])#"")
"),"W")</f>
        <v>W</v>
      </c>
      <c r="D38" s="1" t="str">
        <f>IFERROR(__xludf.DUMMYFUNCTION("REGEXEXTRACT(A38, ""City_([^/]+)"")"),"Chennai")</f>
        <v>Chennai</v>
      </c>
      <c r="E38" s="1" t="str">
        <f>IFERROR(__xludf.DUMMYFUNCTION("REGEXEXTRACT(A38, ""PRD-([^/]+)"")"),"PowerSip")</f>
        <v>PowerSip</v>
      </c>
      <c r="F38" s="1" t="str">
        <f>IFERROR(__xludf.DUMMYFUNCTION("REGEXEXTRACT(A38, ""OPQ\s+(\d+)"")"),"15100")</f>
        <v>15100</v>
      </c>
      <c r="G38" s="1" t="str">
        <f>IFERROR(__xludf.DUMMYFUNCTION("REGEXEXTRACT(A38, ""NPQ\[.*?\](\d+)"")"),"17063")</f>
        <v>17063</v>
      </c>
    </row>
    <row r="39">
      <c r="A39" s="2" t="s">
        <v>152</v>
      </c>
      <c r="B39" s="1" t="str">
        <f>IFERROR(__xludf.DUMMYFUNCTION("REGEXEXTRACT(A39, ""Month\d+"")"),"Month2")</f>
        <v>Month2</v>
      </c>
      <c r="C39" s="1" t="str">
        <f>IFERROR(__xludf.DUMMYFUNCTION("REGEXEXTRACT(A39, ""#([A-Z])#"")
"),"W")</f>
        <v>W</v>
      </c>
      <c r="D39" s="1" t="str">
        <f>IFERROR(__xludf.DUMMYFUNCTION("REGEXEXTRACT(A39, ""City_([^/]+)"")"),"Chennai")</f>
        <v>Chennai</v>
      </c>
      <c r="E39" s="1" t="str">
        <f>IFERROR(__xludf.DUMMYFUNCTION("REGEXEXTRACT(A39, ""PRD-([^/]+)"")"),"HappyGrow")</f>
        <v>HappyGrow</v>
      </c>
      <c r="F39" s="1" t="str">
        <f>IFERROR(__xludf.DUMMYFUNCTION("REGEXEXTRACT(A39, ""OPQ\s+(\d+)"")"),"16905")</f>
        <v>16905</v>
      </c>
      <c r="G39" s="1" t="str">
        <f>IFERROR(__xludf.DUMMYFUNCTION("REGEXEXTRACT(A39, ""NPQ\[.*?\](\d+)"")"),"17751")</f>
        <v>17751</v>
      </c>
    </row>
    <row r="40">
      <c r="A40" s="2" t="s">
        <v>153</v>
      </c>
      <c r="B40" s="1" t="str">
        <f>IFERROR(__xludf.DUMMYFUNCTION("REGEXEXTRACT(A40, ""Month\d+"")"),"Month2")</f>
        <v>Month2</v>
      </c>
      <c r="C40" s="1" t="str">
        <f>IFERROR(__xludf.DUMMYFUNCTION("REGEXEXTRACT(A40, ""#([A-Z])#"")
"),"S")</f>
        <v>S</v>
      </c>
      <c r="D40" s="1" t="str">
        <f>IFERROR(__xludf.DUMMYFUNCTION("REGEXEXTRACT(A40, ""City_([^/]+)"")"),"Chennai")</f>
        <v>Chennai</v>
      </c>
      <c r="E40" s="1" t="str">
        <f>IFERROR(__xludf.DUMMYFUNCTION("REGEXEXTRACT(A40, ""PRD-([^/]+)"")"),"PowerSip")</f>
        <v>PowerSip</v>
      </c>
      <c r="F40" s="1" t="str">
        <f>IFERROR(__xludf.DUMMYFUNCTION("REGEXEXTRACT(A40, ""OPQ\s+(\d+)"")"),"27310")</f>
        <v>27310</v>
      </c>
      <c r="G40" s="1" t="str">
        <f>IFERROR(__xludf.DUMMYFUNCTION("REGEXEXTRACT(A40, ""NPQ\[.*?\](\d+)"")"),"30861")</f>
        <v>30861</v>
      </c>
    </row>
    <row r="41">
      <c r="A41" s="2" t="s">
        <v>154</v>
      </c>
      <c r="B41" s="1" t="str">
        <f>IFERROR(__xludf.DUMMYFUNCTION("REGEXEXTRACT(A41, ""Month\d+"")"),"Month2")</f>
        <v>Month2</v>
      </c>
      <c r="C41" s="1" t="str">
        <f>IFERROR(__xludf.DUMMYFUNCTION("REGEXEXTRACT(A41, ""#([A-Z])#"")
"),"S")</f>
        <v>S</v>
      </c>
      <c r="D41" s="1" t="str">
        <f>IFERROR(__xludf.DUMMYFUNCTION("REGEXEXTRACT(A41, ""City_([^/]+)"")"),"Chennai")</f>
        <v>Chennai</v>
      </c>
      <c r="E41" s="1" t="str">
        <f>IFERROR(__xludf.DUMMYFUNCTION("REGEXEXTRACT(A41, ""PRD-([^/]+)"")"),"HappyGrow")</f>
        <v>HappyGrow</v>
      </c>
      <c r="F41" s="1" t="str">
        <f>IFERROR(__xludf.DUMMYFUNCTION("REGEXEXTRACT(A41, ""OPQ\s+(\d+)"")"),"14411")</f>
        <v>14411</v>
      </c>
      <c r="G41" s="1" t="str">
        <f>IFERROR(__xludf.DUMMYFUNCTION("REGEXEXTRACT(A41, ""NPQ\[.*?\](\d+)"")"),"15132")</f>
        <v>15132</v>
      </c>
    </row>
    <row r="42">
      <c r="A42" s="2" t="s">
        <v>155</v>
      </c>
      <c r="B42" s="1" t="str">
        <f>IFERROR(__xludf.DUMMYFUNCTION("REGEXEXTRACT(A42, ""Month\d+"")"),"Month2")</f>
        <v>Month2</v>
      </c>
      <c r="C42" s="1" t="str">
        <f>IFERROR(__xludf.DUMMYFUNCTION("REGEXEXTRACT(A42, ""#([A-Z])#"")
"),"N")</f>
        <v>N</v>
      </c>
      <c r="D42" s="1" t="str">
        <f>IFERROR(__xludf.DUMMYFUNCTION("REGEXEXTRACT(A42, ""City_([^/]+)"")"),"Mumbai")</f>
        <v>Mumbai</v>
      </c>
      <c r="E42" s="1" t="str">
        <f>IFERROR(__xludf.DUMMYFUNCTION("REGEXEXTRACT(A42, ""PRD-([^/]+)"")"),"PowerSip")</f>
        <v>PowerSip</v>
      </c>
      <c r="F42" s="1" t="str">
        <f>IFERROR(__xludf.DUMMYFUNCTION("REGEXEXTRACT(A42, ""OPQ\s+(\d+)"")"),"24461")</f>
        <v>24461</v>
      </c>
      <c r="G42" s="1" t="str">
        <f>IFERROR(__xludf.DUMMYFUNCTION("REGEXEXTRACT(A42, ""NPQ\[.*?\](\d+)"")"),"27886")</f>
        <v>27886</v>
      </c>
    </row>
    <row r="43">
      <c r="A43" s="2" t="s">
        <v>156</v>
      </c>
      <c r="B43" s="1" t="str">
        <f>IFERROR(__xludf.DUMMYFUNCTION("REGEXEXTRACT(A43, ""Month\d+"")"),"Month2")</f>
        <v>Month2</v>
      </c>
      <c r="C43" s="1" t="str">
        <f>IFERROR(__xludf.DUMMYFUNCTION("REGEXEXTRACT(A43, ""#([A-Z])#"")
"),"N")</f>
        <v>N</v>
      </c>
      <c r="D43" s="1" t="str">
        <f>IFERROR(__xludf.DUMMYFUNCTION("REGEXEXTRACT(A43, ""City_([^/]+)"")"),"Mumbai")</f>
        <v>Mumbai</v>
      </c>
      <c r="E43" s="1" t="str">
        <f>IFERROR(__xludf.DUMMYFUNCTION("REGEXEXTRACT(A43, ""PRD-([^/]+)"")"),"HappyGrow")</f>
        <v>HappyGrow</v>
      </c>
      <c r="F43" s="1" t="str">
        <f>IFERROR(__xludf.DUMMYFUNCTION("REGEXEXTRACT(A43, ""OPQ\s+(\d+)"")"),"25060")</f>
        <v>25060</v>
      </c>
      <c r="G43" s="1" t="str">
        <f>IFERROR(__xludf.DUMMYFUNCTION("REGEXEXTRACT(A43, ""NPQ\[.*?\](\d+)"")"),"26313")</f>
        <v>26313</v>
      </c>
    </row>
    <row r="44">
      <c r="A44" s="2" t="s">
        <v>157</v>
      </c>
      <c r="B44" s="1" t="str">
        <f>IFERROR(__xludf.DUMMYFUNCTION("REGEXEXTRACT(A44, ""Month\d+"")"),"Month2")</f>
        <v>Month2</v>
      </c>
      <c r="C44" s="1" t="str">
        <f>IFERROR(__xludf.DUMMYFUNCTION("REGEXEXTRACT(A44, ""#([A-Z])#"")
"),"E")</f>
        <v>E</v>
      </c>
      <c r="D44" s="1" t="str">
        <f>IFERROR(__xludf.DUMMYFUNCTION("REGEXEXTRACT(A44, ""City_([^/]+)"")"),"Mumbai")</f>
        <v>Mumbai</v>
      </c>
      <c r="E44" s="1" t="str">
        <f>IFERROR(__xludf.DUMMYFUNCTION("REGEXEXTRACT(A44, ""PRD-([^/]+)"")"),"PowerSip")</f>
        <v>PowerSip</v>
      </c>
      <c r="F44" s="1" t="str">
        <f>IFERROR(__xludf.DUMMYFUNCTION("REGEXEXTRACT(A44, ""OPQ\s+(\d+)"")"),"13716")</f>
        <v>13716</v>
      </c>
      <c r="G44" s="1" t="str">
        <f>IFERROR(__xludf.DUMMYFUNCTION("REGEXEXTRACT(A44, ""NPQ\[.*?\](\d+)"")"),"15637")</f>
        <v>15637</v>
      </c>
    </row>
    <row r="45">
      <c r="A45" s="2" t="s">
        <v>158</v>
      </c>
      <c r="B45" s="1" t="str">
        <f>IFERROR(__xludf.DUMMYFUNCTION("REGEXEXTRACT(A45, ""Month\d+"")"),"Month2")</f>
        <v>Month2</v>
      </c>
      <c r="C45" s="1" t="str">
        <f>IFERROR(__xludf.DUMMYFUNCTION("REGEXEXTRACT(A45, ""#([A-Z])#"")
"),"E")</f>
        <v>E</v>
      </c>
      <c r="D45" s="1" t="str">
        <f>IFERROR(__xludf.DUMMYFUNCTION("REGEXEXTRACT(A45, ""City_([^/]+)"")"),"Mumbai")</f>
        <v>Mumbai</v>
      </c>
      <c r="E45" s="1" t="str">
        <f>IFERROR(__xludf.DUMMYFUNCTION("REGEXEXTRACT(A45, ""PRD-([^/]+)"")"),"HappyGrow")</f>
        <v>HappyGrow</v>
      </c>
      <c r="F45" s="1" t="str">
        <f>IFERROR(__xludf.DUMMYFUNCTION("REGEXEXTRACT(A45, ""OPQ\s+(\d+)"")"),"17499")</f>
        <v>17499</v>
      </c>
      <c r="G45" s="1" t="str">
        <f>IFERROR(__xludf.DUMMYFUNCTION("REGEXEXTRACT(A45, ""NPQ\[.*?\](\d+)"")"),"18549")</f>
        <v>18549</v>
      </c>
    </row>
    <row r="46">
      <c r="A46" s="2" t="s">
        <v>159</v>
      </c>
      <c r="B46" s="1" t="str">
        <f>IFERROR(__xludf.DUMMYFUNCTION("REGEXEXTRACT(A46, ""Month\d+"")"),"Month2")</f>
        <v>Month2</v>
      </c>
      <c r="C46" s="1" t="str">
        <f>IFERROR(__xludf.DUMMYFUNCTION("REGEXEXTRACT(A46, ""#([A-Z])#"")
"),"W")</f>
        <v>W</v>
      </c>
      <c r="D46" s="1" t="str">
        <f>IFERROR(__xludf.DUMMYFUNCTION("REGEXEXTRACT(A46, ""City_([^/]+)"")"),"Mumbai")</f>
        <v>Mumbai</v>
      </c>
      <c r="E46" s="1" t="str">
        <f>IFERROR(__xludf.DUMMYFUNCTION("REGEXEXTRACT(A46, ""PRD-([^/]+)"")"),"PowerSip")</f>
        <v>PowerSip</v>
      </c>
      <c r="F46" s="1" t="str">
        <f>IFERROR(__xludf.DUMMYFUNCTION("REGEXEXTRACT(A46, ""OPQ\s+(\d+)"")"),"21490")</f>
        <v>21490</v>
      </c>
      <c r="G46" s="1" t="str">
        <f>IFERROR(__xludf.DUMMYFUNCTION("REGEXEXTRACT(A46, ""NPQ\[.*?\](\d+)"")"),"24929")</f>
        <v>24929</v>
      </c>
    </row>
    <row r="47">
      <c r="A47" s="2" t="s">
        <v>160</v>
      </c>
      <c r="B47" s="1" t="str">
        <f>IFERROR(__xludf.DUMMYFUNCTION("REGEXEXTRACT(A47, ""Month\d+"")"),"Month2")</f>
        <v>Month2</v>
      </c>
      <c r="C47" s="1" t="str">
        <f>IFERROR(__xludf.DUMMYFUNCTION("REGEXEXTRACT(A47, ""#([A-Z])#"")
"),"W")</f>
        <v>W</v>
      </c>
      <c r="D47" s="1" t="str">
        <f>IFERROR(__xludf.DUMMYFUNCTION("REGEXEXTRACT(A47, ""City_([^/]+)"")"),"Mumbai")</f>
        <v>Mumbai</v>
      </c>
      <c r="E47" s="1" t="str">
        <f>IFERROR(__xludf.DUMMYFUNCTION("REGEXEXTRACT(A47, ""PRD-([^/]+)"")"),"HappyGrow")</f>
        <v>HappyGrow</v>
      </c>
      <c r="F47" s="1" t="str">
        <f>IFERROR(__xludf.DUMMYFUNCTION("REGEXEXTRACT(A47, ""OPQ\s+(\d+)"")"),"12154")</f>
        <v>12154</v>
      </c>
      <c r="G47" s="1" t="str">
        <f>IFERROR(__xludf.DUMMYFUNCTION("REGEXEXTRACT(A47, ""NPQ\[.*?\](\d+)"")"),"12884")</f>
        <v>12884</v>
      </c>
    </row>
    <row r="48">
      <c r="A48" s="2" t="s">
        <v>161</v>
      </c>
      <c r="B48" s="1" t="str">
        <f>IFERROR(__xludf.DUMMYFUNCTION("REGEXEXTRACT(A48, ""Month\d+"")"),"Month2")</f>
        <v>Month2</v>
      </c>
      <c r="C48" s="1" t="str">
        <f>IFERROR(__xludf.DUMMYFUNCTION("REGEXEXTRACT(A48, ""#([A-Z])#"")
"),"S")</f>
        <v>S</v>
      </c>
      <c r="D48" s="1" t="str">
        <f>IFERROR(__xludf.DUMMYFUNCTION("REGEXEXTRACT(A48, ""City_([^/]+)"")"),"Mumbai")</f>
        <v>Mumbai</v>
      </c>
      <c r="E48" s="1" t="str">
        <f>IFERROR(__xludf.DUMMYFUNCTION("REGEXEXTRACT(A48, ""PRD-([^/]+)"")"),"PowerSip")</f>
        <v>PowerSip</v>
      </c>
      <c r="F48" s="1" t="str">
        <f>IFERROR(__xludf.DUMMYFUNCTION("REGEXEXTRACT(A48, ""OPQ\s+(\d+)"")"),"13268")</f>
        <v>13268</v>
      </c>
      <c r="G48" s="1" t="str">
        <f>IFERROR(__xludf.DUMMYFUNCTION("REGEXEXTRACT(A48, ""NPQ\[.*?\](\d+)"")"),"15391")</f>
        <v>15391</v>
      </c>
    </row>
    <row r="49">
      <c r="A49" s="2" t="s">
        <v>162</v>
      </c>
      <c r="B49" s="1" t="str">
        <f>IFERROR(__xludf.DUMMYFUNCTION("REGEXEXTRACT(A49, ""Month\d+"")"),"Month2")</f>
        <v>Month2</v>
      </c>
      <c r="C49" s="1" t="str">
        <f>IFERROR(__xludf.DUMMYFUNCTION("REGEXEXTRACT(A49, ""#([A-Z])#"")
"),"S")</f>
        <v>S</v>
      </c>
      <c r="D49" s="1" t="str">
        <f>IFERROR(__xludf.DUMMYFUNCTION("REGEXEXTRACT(A49, ""City_([^/]+)"")"),"Mumbai")</f>
        <v>Mumbai</v>
      </c>
      <c r="E49" s="1" t="str">
        <f>IFERROR(__xludf.DUMMYFUNCTION("REGEXEXTRACT(A49, ""PRD-([^/]+)"")"),"HappyGrow")</f>
        <v>HappyGrow</v>
      </c>
      <c r="F49" s="1" t="str">
        <f>IFERROR(__xludf.DUMMYFUNCTION("REGEXEXTRACT(A49, ""OPQ\s+(\d+)"")"),"14530")</f>
        <v>14530</v>
      </c>
      <c r="G49" s="1" t="str">
        <f>IFERROR(__xludf.DUMMYFUNCTION("REGEXEXTRACT(A49, ""NPQ\[.*?\](\d+)"")"),"15548")</f>
        <v>15548</v>
      </c>
    </row>
    <row r="50">
      <c r="A50" s="2" t="s">
        <v>163</v>
      </c>
      <c r="B50" s="1" t="str">
        <f>IFERROR(__xludf.DUMMYFUNCTION("REGEXEXTRACT(A50, ""Month\d+"")"),"Month2")</f>
        <v>Month2</v>
      </c>
      <c r="C50" s="1" t="str">
        <f>IFERROR(__xludf.DUMMYFUNCTION("REGEXEXTRACT(A50, ""#([A-Z])#"")
"),"N")</f>
        <v>N</v>
      </c>
      <c r="D50" s="1" t="str">
        <f>IFERROR(__xludf.DUMMYFUNCTION("REGEXEXTRACT(A50, ""City_([^/]+)"")"),"Bengaluru")</f>
        <v>Bengaluru</v>
      </c>
      <c r="E50" s="1" t="str">
        <f>IFERROR(__xludf.DUMMYFUNCTION("REGEXEXTRACT(A50, ""PRD-([^/]+)"")"),"PowerSip")</f>
        <v>PowerSip</v>
      </c>
      <c r="F50" s="1" t="str">
        <f>IFERROR(__xludf.DUMMYFUNCTION("REGEXEXTRACT(A50, ""OPQ\s+(\d+)"")"),"23403")</f>
        <v>23403</v>
      </c>
      <c r="G50" s="1" t="str">
        <f>IFERROR(__xludf.DUMMYFUNCTION("REGEXEXTRACT(A50, ""NPQ\[.*?\](\d+)"")"),"27382")</f>
        <v>27382</v>
      </c>
    </row>
    <row r="51">
      <c r="A51" s="2" t="s">
        <v>164</v>
      </c>
      <c r="B51" s="1" t="str">
        <f>IFERROR(__xludf.DUMMYFUNCTION("REGEXEXTRACT(A51, ""Month\d+"")"),"Month2")</f>
        <v>Month2</v>
      </c>
      <c r="C51" s="1" t="str">
        <f>IFERROR(__xludf.DUMMYFUNCTION("REGEXEXTRACT(A51, ""#([A-Z])#"")
"),"N")</f>
        <v>N</v>
      </c>
      <c r="D51" s="1" t="str">
        <f>IFERROR(__xludf.DUMMYFUNCTION("REGEXEXTRACT(A51, ""City_([^/]+)"")"),"Bengaluru")</f>
        <v>Bengaluru</v>
      </c>
      <c r="E51" s="1" t="str">
        <f>IFERROR(__xludf.DUMMYFUNCTION("REGEXEXTRACT(A51, ""PRD-([^/]+)"")"),"HappyGrow")</f>
        <v>HappyGrow</v>
      </c>
      <c r="F51" s="1" t="str">
        <f>IFERROR(__xludf.DUMMYFUNCTION("REGEXEXTRACT(A51, ""OPQ\s+(\d+)"")"),"19914")</f>
        <v>19914</v>
      </c>
      <c r="G51" s="1" t="str">
        <f>IFERROR(__xludf.DUMMYFUNCTION("REGEXEXTRACT(A51, ""NPQ\[.*?\](\d+)"")"),"21308")</f>
        <v>21308</v>
      </c>
    </row>
    <row r="52">
      <c r="A52" s="2" t="s">
        <v>165</v>
      </c>
      <c r="B52" s="1" t="str">
        <f>IFERROR(__xludf.DUMMYFUNCTION("REGEXEXTRACT(A52, ""Month\d+"")"),"Month2")</f>
        <v>Month2</v>
      </c>
      <c r="C52" s="1" t="str">
        <f>IFERROR(__xludf.DUMMYFUNCTION("REGEXEXTRACT(A52, ""#([A-Z])#"")
"),"E")</f>
        <v>E</v>
      </c>
      <c r="D52" s="1" t="str">
        <f>IFERROR(__xludf.DUMMYFUNCTION("REGEXEXTRACT(A52, ""City_([^/]+)"")"),"Bengaluru")</f>
        <v>Bengaluru</v>
      </c>
      <c r="E52" s="1" t="str">
        <f>IFERROR(__xludf.DUMMYFUNCTION("REGEXEXTRACT(A52, ""PRD-([^/]+)"")"),"PowerSip")</f>
        <v>PowerSip</v>
      </c>
      <c r="F52" s="1" t="str">
        <f>IFERROR(__xludf.DUMMYFUNCTION("REGEXEXTRACT(A52, ""OPQ\s+(\d+)"")"),"26455")</f>
        <v>26455</v>
      </c>
      <c r="G52" s="1" t="str">
        <f>IFERROR(__xludf.DUMMYFUNCTION("REGEXEXTRACT(A52, ""NPQ\[.*?\](\d+)"")"),"30953")</f>
        <v>30953</v>
      </c>
    </row>
    <row r="53">
      <c r="A53" s="2" t="s">
        <v>166</v>
      </c>
      <c r="B53" s="1" t="str">
        <f>IFERROR(__xludf.DUMMYFUNCTION("REGEXEXTRACT(A53, ""Month\d+"")"),"Month2")</f>
        <v>Month2</v>
      </c>
      <c r="C53" s="1" t="str">
        <f>IFERROR(__xludf.DUMMYFUNCTION("REGEXEXTRACT(A53, ""#([A-Z])#"")
"),"E")</f>
        <v>E</v>
      </c>
      <c r="D53" s="1" t="str">
        <f>IFERROR(__xludf.DUMMYFUNCTION("REGEXEXTRACT(A53, ""City_([^/]+)"")"),"Bengaluru")</f>
        <v>Bengaluru</v>
      </c>
      <c r="E53" s="1" t="str">
        <f>IFERROR(__xludf.DUMMYFUNCTION("REGEXEXTRACT(A53, ""PRD-([^/]+)"")"),"HappyGrow")</f>
        <v>HappyGrow</v>
      </c>
      <c r="F53" s="1" t="str">
        <f>IFERROR(__xludf.DUMMYFUNCTION("REGEXEXTRACT(A53, ""OPQ\s+(\d+)"")"),"16192")</f>
        <v>16192</v>
      </c>
      <c r="G53" s="1" t="str">
        <f>IFERROR(__xludf.DUMMYFUNCTION("REGEXEXTRACT(A53, ""NPQ\[.*?\](\d+)"")"),"17326")</f>
        <v>17326</v>
      </c>
    </row>
    <row r="54">
      <c r="A54" s="2" t="s">
        <v>167</v>
      </c>
      <c r="B54" s="1" t="str">
        <f>IFERROR(__xludf.DUMMYFUNCTION("REGEXEXTRACT(A54, ""Month\d+"")"),"Month2")</f>
        <v>Month2</v>
      </c>
      <c r="C54" s="1" t="str">
        <f>IFERROR(__xludf.DUMMYFUNCTION("REGEXEXTRACT(A54, ""#([A-Z])#"")
"),"W")</f>
        <v>W</v>
      </c>
      <c r="D54" s="1" t="str">
        <f>IFERROR(__xludf.DUMMYFUNCTION("REGEXEXTRACT(A54, ""City_([^/]+)"")"),"Bengaluru")</f>
        <v>Bengaluru</v>
      </c>
      <c r="E54" s="1" t="str">
        <f>IFERROR(__xludf.DUMMYFUNCTION("REGEXEXTRACT(A54, ""PRD-([^/]+)"")"),"PowerSip")</f>
        <v>PowerSip</v>
      </c>
      <c r="F54" s="1" t="str">
        <f>IFERROR(__xludf.DUMMYFUNCTION("REGEXEXTRACT(A54, ""OPQ\s+(\d+)"")"),"19617")</f>
        <v>19617</v>
      </c>
      <c r="G54" s="1" t="str">
        <f>IFERROR(__xludf.DUMMYFUNCTION("REGEXEXTRACT(A54, ""NPQ\[.*?\](\d+)"")"),"22952")</f>
        <v>22952</v>
      </c>
    </row>
    <row r="55">
      <c r="A55" s="2" t="s">
        <v>168</v>
      </c>
      <c r="B55" s="1" t="str">
        <f>IFERROR(__xludf.DUMMYFUNCTION("REGEXEXTRACT(A55, ""Month\d+"")"),"Month2")</f>
        <v>Month2</v>
      </c>
      <c r="C55" s="1" t="str">
        <f>IFERROR(__xludf.DUMMYFUNCTION("REGEXEXTRACT(A55, ""#([A-Z])#"")
"),"W")</f>
        <v>W</v>
      </c>
      <c r="D55" s="1" t="str">
        <f>IFERROR(__xludf.DUMMYFUNCTION("REGEXEXTRACT(A55, ""City_([^/]+)"")"),"Bengaluru")</f>
        <v>Bengaluru</v>
      </c>
      <c r="E55" s="1" t="str">
        <f>IFERROR(__xludf.DUMMYFUNCTION("REGEXEXTRACT(A55, ""PRD-([^/]+)"")"),"HappyGrow")</f>
        <v>HappyGrow</v>
      </c>
      <c r="F55" s="1" t="str">
        <f>IFERROR(__xludf.DUMMYFUNCTION("REGEXEXTRACT(A55, ""OPQ\s+(\d+)"")"),"15084")</f>
        <v>15084</v>
      </c>
      <c r="G55" s="1" t="str">
        <f>IFERROR(__xludf.DUMMYFUNCTION("REGEXEXTRACT(A55, ""NPQ\[.*?\](\d+)"")"),"16140")</f>
        <v>16140</v>
      </c>
    </row>
    <row r="56">
      <c r="A56" s="2" t="s">
        <v>169</v>
      </c>
      <c r="B56" s="1" t="str">
        <f>IFERROR(__xludf.DUMMYFUNCTION("REGEXEXTRACT(A56, ""Month\d+"")"),"Month2")</f>
        <v>Month2</v>
      </c>
      <c r="C56" s="1" t="str">
        <f>IFERROR(__xludf.DUMMYFUNCTION("REGEXEXTRACT(A56, ""#([A-Z])#"")
"),"S")</f>
        <v>S</v>
      </c>
      <c r="D56" s="1" t="str">
        <f>IFERROR(__xludf.DUMMYFUNCTION("REGEXEXTRACT(A56, ""City_([^/]+)"")"),"Bengaluru")</f>
        <v>Bengaluru</v>
      </c>
      <c r="E56" s="1" t="str">
        <f>IFERROR(__xludf.DUMMYFUNCTION("REGEXEXTRACT(A56, ""PRD-([^/]+)"")"),"PowerSip")</f>
        <v>PowerSip</v>
      </c>
      <c r="F56" s="1" t="str">
        <f>IFERROR(__xludf.DUMMYFUNCTION("REGEXEXTRACT(A56, ""OPQ\s+(\d+)"")"),"27106")</f>
        <v>27106</v>
      </c>
      <c r="G56" s="1" t="str">
        <f>IFERROR(__xludf.DUMMYFUNCTION("REGEXEXTRACT(A56, ""NPQ\[.*?\](\d+)"")"),"31715")</f>
        <v>31715</v>
      </c>
    </row>
    <row r="57">
      <c r="A57" s="2" t="s">
        <v>170</v>
      </c>
      <c r="B57" s="1" t="str">
        <f>IFERROR(__xludf.DUMMYFUNCTION("REGEXEXTRACT(A57, ""Month\d+"")"),"Month2")</f>
        <v>Month2</v>
      </c>
      <c r="C57" s="1" t="str">
        <f>IFERROR(__xludf.DUMMYFUNCTION("REGEXEXTRACT(A57, ""#([A-Z])#"")
"),"S")</f>
        <v>S</v>
      </c>
      <c r="D57" s="1" t="str">
        <f>IFERROR(__xludf.DUMMYFUNCTION("REGEXEXTRACT(A57, ""City_([^/]+)"")"),"Bengaluru")</f>
        <v>Bengaluru</v>
      </c>
      <c r="E57" s="1" t="str">
        <f>IFERROR(__xludf.DUMMYFUNCTION("REGEXEXTRACT(A57, ""PRD-([^/]+)"")"),"HappyGrow")</f>
        <v>HappyGrow</v>
      </c>
      <c r="F57" s="1" t="str">
        <f>IFERROR(__xludf.DUMMYFUNCTION("REGEXEXTRACT(A57, ""OPQ\s+(\d+)"")"),"26604")</f>
        <v>26604</v>
      </c>
      <c r="G57" s="1" t="str">
        <f>IFERROR(__xludf.DUMMYFUNCTION("REGEXEXTRACT(A57, ""NPQ\[.*?\](\d+)"")"),"28467")</f>
        <v>28467</v>
      </c>
    </row>
    <row r="58">
      <c r="A58" s="2" t="s">
        <v>171</v>
      </c>
      <c r="B58" s="1" t="str">
        <f>IFERROR(__xludf.DUMMYFUNCTION("REGEXEXTRACT(A58, ""Month\d+"")"),"Month2")</f>
        <v>Month2</v>
      </c>
      <c r="C58" s="1" t="str">
        <f>IFERROR(__xludf.DUMMYFUNCTION("REGEXEXTRACT(A58, ""#([A-Z])#"")
"),"N")</f>
        <v>N</v>
      </c>
      <c r="D58" s="1" t="str">
        <f>IFERROR(__xludf.DUMMYFUNCTION("REGEXEXTRACT(A58, ""City_([^/]+)"")"),"Delhi")</f>
        <v>Delhi</v>
      </c>
      <c r="E58" s="1" t="str">
        <f>IFERROR(__xludf.DUMMYFUNCTION("REGEXEXTRACT(A58, ""PRD-([^/]+)"")"),"PowerSip")</f>
        <v>PowerSip</v>
      </c>
      <c r="F58" s="1" t="str">
        <f>IFERROR(__xludf.DUMMYFUNCTION("REGEXEXTRACT(A58, ""OPQ\s+(\d+)"")"),"21815")</f>
        <v>21815</v>
      </c>
      <c r="G58" s="1" t="str">
        <f>IFERROR(__xludf.DUMMYFUNCTION("REGEXEXTRACT(A58, ""NPQ\[.*?\](\d+)"")"),"25524")</f>
        <v>25524</v>
      </c>
    </row>
    <row r="59">
      <c r="A59" s="2" t="s">
        <v>172</v>
      </c>
      <c r="B59" s="1" t="str">
        <f>IFERROR(__xludf.DUMMYFUNCTION("REGEXEXTRACT(A59, ""Month\d+"")"),"Month2")</f>
        <v>Month2</v>
      </c>
      <c r="C59" s="1" t="str">
        <f>IFERROR(__xludf.DUMMYFUNCTION("REGEXEXTRACT(A59, ""#([A-Z])#"")
"),"N")</f>
        <v>N</v>
      </c>
      <c r="D59" s="1" t="str">
        <f>IFERROR(__xludf.DUMMYFUNCTION("REGEXEXTRACT(A59, ""City_([^/]+)"")"),"Delhi")</f>
        <v>Delhi</v>
      </c>
      <c r="E59" s="1" t="str">
        <f>IFERROR(__xludf.DUMMYFUNCTION("REGEXEXTRACT(A59, ""PRD-([^/]+)"")"),"HappyGrow")</f>
        <v>HappyGrow</v>
      </c>
      <c r="F59" s="1" t="str">
        <f>IFERROR(__xludf.DUMMYFUNCTION("REGEXEXTRACT(A59, ""OPQ\s+(\d+)"")"),"13183")</f>
        <v>13183</v>
      </c>
      <c r="G59" s="1" t="str">
        <f>IFERROR(__xludf.DUMMYFUNCTION("REGEXEXTRACT(A59, ""NPQ\[.*?\](\d+)"")"),"14238")</f>
        <v>14238</v>
      </c>
    </row>
    <row r="60">
      <c r="A60" s="2" t="s">
        <v>173</v>
      </c>
      <c r="B60" s="1" t="str">
        <f>IFERROR(__xludf.DUMMYFUNCTION("REGEXEXTRACT(A60, ""Month\d+"")"),"Month2")</f>
        <v>Month2</v>
      </c>
      <c r="C60" s="1" t="str">
        <f>IFERROR(__xludf.DUMMYFUNCTION("REGEXEXTRACT(A60, ""#([A-Z])#"")
"),"E")</f>
        <v>E</v>
      </c>
      <c r="D60" s="1" t="str">
        <f>IFERROR(__xludf.DUMMYFUNCTION("REGEXEXTRACT(A60, ""City_([^/]+)"")"),"Delhi")</f>
        <v>Delhi</v>
      </c>
      <c r="E60" s="1" t="str">
        <f>IFERROR(__xludf.DUMMYFUNCTION("REGEXEXTRACT(A60, ""PRD-([^/]+)"")"),"PowerSip")</f>
        <v>PowerSip</v>
      </c>
      <c r="F60" s="1" t="str">
        <f>IFERROR(__xludf.DUMMYFUNCTION("REGEXEXTRACT(A60, ""OPQ\s+(\d+)"")"),"23728")</f>
        <v>23728</v>
      </c>
      <c r="G60" s="1" t="str">
        <f>IFERROR(__xludf.DUMMYFUNCTION("REGEXEXTRACT(A60, ""NPQ\[.*?\](\d+)"")"),"27762")</f>
        <v>27762</v>
      </c>
    </row>
    <row r="61">
      <c r="A61" s="2" t="s">
        <v>174</v>
      </c>
      <c r="B61" s="1" t="str">
        <f>IFERROR(__xludf.DUMMYFUNCTION("REGEXEXTRACT(A61, ""Month\d+"")"),"Month2")</f>
        <v>Month2</v>
      </c>
      <c r="C61" s="1" t="str">
        <f>IFERROR(__xludf.DUMMYFUNCTION("REGEXEXTRACT(A61, ""#([A-Z])#"")
"),"E")</f>
        <v>E</v>
      </c>
      <c r="D61" s="1" t="str">
        <f>IFERROR(__xludf.DUMMYFUNCTION("REGEXEXTRACT(A61, ""City_([^/]+)"")"),"Delhi")</f>
        <v>Delhi</v>
      </c>
      <c r="E61" s="1" t="str">
        <f>IFERROR(__xludf.DUMMYFUNCTION("REGEXEXTRACT(A61, ""PRD-([^/]+)"")"),"HappyGrow")</f>
        <v>HappyGrow</v>
      </c>
      <c r="F61" s="1" t="str">
        <f>IFERROR(__xludf.DUMMYFUNCTION("REGEXEXTRACT(A61, ""OPQ\s+(\d+)"")"),"14252")</f>
        <v>14252</v>
      </c>
      <c r="G61" s="1" t="str">
        <f>IFERROR(__xludf.DUMMYFUNCTION("REGEXEXTRACT(A61, ""NPQ\[.*?\](\d+)"")"),"15393")</f>
        <v>15393</v>
      </c>
    </row>
    <row r="62">
      <c r="A62" s="2" t="s">
        <v>175</v>
      </c>
      <c r="B62" s="1" t="str">
        <f>IFERROR(__xludf.DUMMYFUNCTION("REGEXEXTRACT(A62, ""Month\d+"")"),"Month2")</f>
        <v>Month2</v>
      </c>
      <c r="C62" s="1" t="str">
        <f>IFERROR(__xludf.DUMMYFUNCTION("REGEXEXTRACT(A62, ""#([A-Z])#"")
"),"W")</f>
        <v>W</v>
      </c>
      <c r="D62" s="1" t="str">
        <f>IFERROR(__xludf.DUMMYFUNCTION("REGEXEXTRACT(A62, ""City_([^/]+)"")"),"Delhi")</f>
        <v>Delhi</v>
      </c>
      <c r="E62" s="1" t="str">
        <f>IFERROR(__xludf.DUMMYFUNCTION("REGEXEXTRACT(A62, ""PRD-([^/]+)"")"),"PowerSip")</f>
        <v>PowerSip</v>
      </c>
      <c r="F62" s="1" t="str">
        <f>IFERROR(__xludf.DUMMYFUNCTION("REGEXEXTRACT(A62, ""OPQ\s+(\d+)"")"),"22100")</f>
        <v>22100</v>
      </c>
      <c r="G62" s="1" t="str">
        <f>IFERROR(__xludf.DUMMYFUNCTION("REGEXEXTRACT(A62, ""NPQ\[.*?\](\d+)"")"),"26078")</f>
        <v>26078</v>
      </c>
    </row>
    <row r="63">
      <c r="A63" s="2" t="s">
        <v>176</v>
      </c>
      <c r="B63" s="1" t="str">
        <f>IFERROR(__xludf.DUMMYFUNCTION("REGEXEXTRACT(A63, ""Month\d+"")"),"Month2")</f>
        <v>Month2</v>
      </c>
      <c r="C63" s="1" t="str">
        <f>IFERROR(__xludf.DUMMYFUNCTION("REGEXEXTRACT(A63, ""#([A-Z])#"")
"),"W")</f>
        <v>W</v>
      </c>
      <c r="D63" s="1" t="str">
        <f>IFERROR(__xludf.DUMMYFUNCTION("REGEXEXTRACT(A63, ""City_([^/]+)"")"),"Delhi")</f>
        <v>Delhi</v>
      </c>
      <c r="E63" s="1" t="str">
        <f>IFERROR(__xludf.DUMMYFUNCTION("REGEXEXTRACT(A63, ""PRD-([^/]+)"")"),"HappyGrow")</f>
        <v>HappyGrow</v>
      </c>
      <c r="F63" s="1" t="str">
        <f>IFERROR(__xludf.DUMMYFUNCTION("REGEXEXTRACT(A63, ""OPQ\s+(\d+)"")"),"16311")</f>
        <v>16311</v>
      </c>
      <c r="G63" s="1" t="str">
        <f>IFERROR(__xludf.DUMMYFUNCTION("REGEXEXTRACT(A63, ""NPQ\[.*?\](\d+)"")"),"17616")</f>
        <v>17616</v>
      </c>
    </row>
    <row r="64">
      <c r="A64" s="2" t="s">
        <v>177</v>
      </c>
      <c r="B64" s="1" t="str">
        <f>IFERROR(__xludf.DUMMYFUNCTION("REGEXEXTRACT(A64, ""Month\d+"")"),"Month2")</f>
        <v>Month2</v>
      </c>
      <c r="C64" s="1" t="str">
        <f>IFERROR(__xludf.DUMMYFUNCTION("REGEXEXTRACT(A64, ""#([A-Z])#"")
"),"S")</f>
        <v>S</v>
      </c>
      <c r="D64" s="1" t="str">
        <f>IFERROR(__xludf.DUMMYFUNCTION("REGEXEXTRACT(A64, ""City_([^/]+)"")"),"Delhi")</f>
        <v>Delhi</v>
      </c>
      <c r="E64" s="1" t="str">
        <f>IFERROR(__xludf.DUMMYFUNCTION("REGEXEXTRACT(A64, ""PRD-([^/]+)"")"),"PowerSip")</f>
        <v>PowerSip</v>
      </c>
      <c r="F64" s="1" t="str">
        <f>IFERROR(__xludf.DUMMYFUNCTION("REGEXEXTRACT(A64, ""OPQ\s+(\d+)"")"),"19048")</f>
        <v>19048</v>
      </c>
      <c r="G64" s="1" t="str">
        <f>IFERROR(__xludf.DUMMYFUNCTION("REGEXEXTRACT(A64, ""NPQ\[.*?\](\d+)"")"),"22477")</f>
        <v>22477</v>
      </c>
    </row>
    <row r="65">
      <c r="A65" s="2" t="s">
        <v>178</v>
      </c>
      <c r="B65" s="1" t="str">
        <f>IFERROR(__xludf.DUMMYFUNCTION("REGEXEXTRACT(A65, ""Month\d+"")"),"Month2")</f>
        <v>Month2</v>
      </c>
      <c r="C65" s="1" t="str">
        <f>IFERROR(__xludf.DUMMYFUNCTION("REGEXEXTRACT(A65, ""#([A-Z])#"")
"),"S")</f>
        <v>S</v>
      </c>
      <c r="D65" s="1" t="str">
        <f>IFERROR(__xludf.DUMMYFUNCTION("REGEXEXTRACT(A65, ""City_([^/]+)"")"),"Delhi")</f>
        <v>Delhi</v>
      </c>
      <c r="E65" s="1" t="str">
        <f>IFERROR(__xludf.DUMMYFUNCTION("REGEXEXTRACT(A65, ""PRD-([^/]+)"")"),"HappyGrow")</f>
        <v>HappyGrow</v>
      </c>
      <c r="F65" s="1" t="str">
        <f>IFERROR(__xludf.DUMMYFUNCTION("REGEXEXTRACT(A65, ""OPQ\s+(\d+)"")"),"24467")</f>
        <v>24467</v>
      </c>
      <c r="G65" s="1" t="str">
        <f>IFERROR(__xludf.DUMMYFUNCTION("REGEXEXTRACT(A65, ""NPQ\[.*?\](\d+)"")"),"26425")</f>
        <v>26425</v>
      </c>
    </row>
    <row r="66">
      <c r="A66" s="2" t="s">
        <v>179</v>
      </c>
      <c r="B66" s="1" t="str">
        <f>IFERROR(__xludf.DUMMYFUNCTION("REGEXEXTRACT(A66, ""Month\d+"")"),"Month3")</f>
        <v>Month3</v>
      </c>
      <c r="C66" s="1" t="str">
        <f>IFERROR(__xludf.DUMMYFUNCTION("REGEXEXTRACT(A66, ""#([A-Z])#"")
"),"N")</f>
        <v>N</v>
      </c>
      <c r="D66" s="1" t="str">
        <f>IFERROR(__xludf.DUMMYFUNCTION("REGEXEXTRACT(A66, ""City_([^/]+)"")"),"Chennai")</f>
        <v>Chennai</v>
      </c>
      <c r="E66" s="1" t="str">
        <f>IFERROR(__xludf.DUMMYFUNCTION("REGEXEXTRACT(A66, ""PRD-([^/]+)"")"),"PowerSip")</f>
        <v>PowerSip</v>
      </c>
      <c r="F66" s="1" t="str">
        <f>IFERROR(__xludf.DUMMYFUNCTION("REGEXEXTRACT(A66, ""OPQ\s+(\d+)"")"),"26012")</f>
        <v>26012</v>
      </c>
      <c r="G66" s="1" t="str">
        <f>IFERROR(__xludf.DUMMYFUNCTION("REGEXEXTRACT(A66, ""NPQ\[.*?\](\d+)"")"),"30695")</f>
        <v>30695</v>
      </c>
    </row>
    <row r="67">
      <c r="A67" s="2" t="s">
        <v>180</v>
      </c>
      <c r="B67" s="1" t="str">
        <f>IFERROR(__xludf.DUMMYFUNCTION("REGEXEXTRACT(A67, ""Month\d+"")"),"Month3")</f>
        <v>Month3</v>
      </c>
      <c r="C67" s="1" t="str">
        <f>IFERROR(__xludf.DUMMYFUNCTION("REGEXEXTRACT(A67, ""#([A-Z])#"")
"),"N")</f>
        <v>N</v>
      </c>
      <c r="D67" s="1" t="str">
        <f>IFERROR(__xludf.DUMMYFUNCTION("REGEXEXTRACT(A67, ""City_([^/]+)"")"),"Chennai")</f>
        <v>Chennai</v>
      </c>
      <c r="E67" s="1" t="str">
        <f>IFERROR(__xludf.DUMMYFUNCTION("REGEXEXTRACT(A67, ""PRD-([^/]+)"")"),"HappyGrow")</f>
        <v>HappyGrow</v>
      </c>
      <c r="F67" s="1" t="str">
        <f>IFERROR(__xludf.DUMMYFUNCTION("REGEXEXTRACT(A67, ""OPQ\s+(\d+)"")"),"19063")</f>
        <v>19063</v>
      </c>
      <c r="G67" s="1" t="str">
        <f>IFERROR(__xludf.DUMMYFUNCTION("REGEXEXTRACT(A67, ""NPQ\[.*?\](\d+)"")"),"20589")</f>
        <v>20589</v>
      </c>
    </row>
    <row r="68">
      <c r="A68" s="2" t="s">
        <v>181</v>
      </c>
      <c r="B68" s="1" t="str">
        <f>IFERROR(__xludf.DUMMYFUNCTION("REGEXEXTRACT(A68, ""Month\d+"")"),"Month3")</f>
        <v>Month3</v>
      </c>
      <c r="C68" s="1" t="str">
        <f>IFERROR(__xludf.DUMMYFUNCTION("REGEXEXTRACT(A68, ""#([A-Z])#"")
"),"E")</f>
        <v>E</v>
      </c>
      <c r="D68" s="1" t="str">
        <f>IFERROR(__xludf.DUMMYFUNCTION("REGEXEXTRACT(A68, ""City_([^/]+)"")"),"Chennai")</f>
        <v>Chennai</v>
      </c>
      <c r="E68" s="1" t="str">
        <f>IFERROR(__xludf.DUMMYFUNCTION("REGEXEXTRACT(A68, ""PRD-([^/]+)"")"),"PowerSip")</f>
        <v>PowerSip</v>
      </c>
      <c r="F68" s="1" t="str">
        <f>IFERROR(__xludf.DUMMYFUNCTION("REGEXEXTRACT(A68, ""OPQ\s+(\d+)"")"),"13879")</f>
        <v>13879</v>
      </c>
      <c r="G68" s="1" t="str">
        <f>IFERROR(__xludf.DUMMYFUNCTION("REGEXEXTRACT(A68, ""NPQ\[.*?\](\d+)"")"),"16378")</f>
        <v>16378</v>
      </c>
    </row>
    <row r="69">
      <c r="A69" s="2" t="s">
        <v>182</v>
      </c>
      <c r="B69" s="1" t="str">
        <f>IFERROR(__xludf.DUMMYFUNCTION("REGEXEXTRACT(A69, ""Month\d+"")"),"Month3")</f>
        <v>Month3</v>
      </c>
      <c r="C69" s="1" t="str">
        <f>IFERROR(__xludf.DUMMYFUNCTION("REGEXEXTRACT(A69, ""#([A-Z])#"")
"),"E")</f>
        <v>E</v>
      </c>
      <c r="D69" s="1" t="str">
        <f>IFERROR(__xludf.DUMMYFUNCTION("REGEXEXTRACT(A69, ""City_([^/]+)"")"),"Chennai")</f>
        <v>Chennai</v>
      </c>
      <c r="E69" s="1" t="str">
        <f>IFERROR(__xludf.DUMMYFUNCTION("REGEXEXTRACT(A69, ""PRD-([^/]+)"")"),"HappyGrow")</f>
        <v>HappyGrow</v>
      </c>
      <c r="F69" s="1" t="str">
        <f>IFERROR(__xludf.DUMMYFUNCTION("REGEXEXTRACT(A69, ""OPQ\s+(\d+)"")"),"25586")</f>
        <v>25586</v>
      </c>
      <c r="G69" s="1" t="str">
        <f>IFERROR(__xludf.DUMMYFUNCTION("REGEXEXTRACT(A69, ""NPQ\[.*?\](\d+)"")"),"27889")</f>
        <v>27889</v>
      </c>
    </row>
    <row r="70">
      <c r="A70" s="2" t="s">
        <v>183</v>
      </c>
      <c r="B70" s="1" t="str">
        <f>IFERROR(__xludf.DUMMYFUNCTION("REGEXEXTRACT(A70, ""Month\d+"")"),"Month3")</f>
        <v>Month3</v>
      </c>
      <c r="C70" s="1" t="str">
        <f>IFERROR(__xludf.DUMMYFUNCTION("REGEXEXTRACT(A70, ""#([A-Z])#"")
"),"W")</f>
        <v>W</v>
      </c>
      <c r="D70" s="1" t="str">
        <f>IFERROR(__xludf.DUMMYFUNCTION("REGEXEXTRACT(A70, ""City_([^/]+)"")"),"Chennai")</f>
        <v>Chennai</v>
      </c>
      <c r="E70" s="1" t="str">
        <f>IFERROR(__xludf.DUMMYFUNCTION("REGEXEXTRACT(A70, ""PRD-([^/]+)"")"),"PowerSip")</f>
        <v>PowerSip</v>
      </c>
      <c r="F70" s="1" t="str">
        <f>IFERROR(__xludf.DUMMYFUNCTION("REGEXEXTRACT(A70, ""OPQ\s+(\d+)"")"),"16610")</f>
        <v>16610</v>
      </c>
      <c r="G70" s="1" t="str">
        <f>IFERROR(__xludf.DUMMYFUNCTION("REGEXEXTRACT(A70, ""NPQ\[.*?\](\d+)"")"),"19600")</f>
        <v>19600</v>
      </c>
    </row>
    <row r="71">
      <c r="A71" s="2" t="s">
        <v>184</v>
      </c>
      <c r="B71" s="1" t="str">
        <f>IFERROR(__xludf.DUMMYFUNCTION("REGEXEXTRACT(A71, ""Month\d+"")"),"Month3")</f>
        <v>Month3</v>
      </c>
      <c r="C71" s="1" t="str">
        <f>IFERROR(__xludf.DUMMYFUNCTION("REGEXEXTRACT(A71, ""#([A-Z])#"")
"),"W")</f>
        <v>W</v>
      </c>
      <c r="D71" s="1" t="str">
        <f>IFERROR(__xludf.DUMMYFUNCTION("REGEXEXTRACT(A71, ""City_([^/]+)"")"),"Chennai")</f>
        <v>Chennai</v>
      </c>
      <c r="E71" s="1" t="str">
        <f>IFERROR(__xludf.DUMMYFUNCTION("REGEXEXTRACT(A71, ""PRD-([^/]+)"")"),"HappyGrow")</f>
        <v>HappyGrow</v>
      </c>
      <c r="F71" s="1" t="str">
        <f>IFERROR(__xludf.DUMMYFUNCTION("REGEXEXTRACT(A71, ""OPQ\s+(\d+)"")"),"18088")</f>
        <v>18088</v>
      </c>
      <c r="G71" s="1" t="str">
        <f>IFERROR(__xludf.DUMMYFUNCTION("REGEXEXTRACT(A71, ""NPQ\[.*?\](\d+)"")"),"19716")</f>
        <v>19716</v>
      </c>
    </row>
    <row r="72">
      <c r="A72" s="2" t="s">
        <v>185</v>
      </c>
      <c r="B72" s="1" t="str">
        <f>IFERROR(__xludf.DUMMYFUNCTION("REGEXEXTRACT(A72, ""Month\d+"")"),"Month3")</f>
        <v>Month3</v>
      </c>
      <c r="C72" s="1" t="str">
        <f>IFERROR(__xludf.DUMMYFUNCTION("REGEXEXTRACT(A72, ""#([A-Z])#"")
"),"S")</f>
        <v>S</v>
      </c>
      <c r="D72" s="1" t="str">
        <f>IFERROR(__xludf.DUMMYFUNCTION("REGEXEXTRACT(A72, ""City_([^/]+)"")"),"Chennai")</f>
        <v>Chennai</v>
      </c>
      <c r="E72" s="1" t="str">
        <f>IFERROR(__xludf.DUMMYFUNCTION("REGEXEXTRACT(A72, ""PRD-([^/]+)"")"),"PowerSip")</f>
        <v>PowerSip</v>
      </c>
      <c r="F72" s="1" t="str">
        <f>IFERROR(__xludf.DUMMYFUNCTION("REGEXEXTRACT(A72, ""OPQ\s+(\d+)"")"),"30041")</f>
        <v>30041</v>
      </c>
      <c r="G72" s="1" t="str">
        <f>IFERROR(__xludf.DUMMYFUNCTION("REGEXEXTRACT(A72, ""NPQ\[.*?\](\d+)"")"),"35449")</f>
        <v>35449</v>
      </c>
    </row>
    <row r="73">
      <c r="A73" s="2" t="s">
        <v>186</v>
      </c>
      <c r="B73" s="1" t="str">
        <f>IFERROR(__xludf.DUMMYFUNCTION("REGEXEXTRACT(A73, ""Month\d+"")"),"Month3")</f>
        <v>Month3</v>
      </c>
      <c r="C73" s="1" t="str">
        <f>IFERROR(__xludf.DUMMYFUNCTION("REGEXEXTRACT(A73, ""#([A-Z])#"")
"),"S")</f>
        <v>S</v>
      </c>
      <c r="D73" s="1" t="str">
        <f>IFERROR(__xludf.DUMMYFUNCTION("REGEXEXTRACT(A73, ""City_([^/]+)"")"),"Chennai")</f>
        <v>Chennai</v>
      </c>
      <c r="E73" s="1" t="str">
        <f>IFERROR(__xludf.DUMMYFUNCTION("REGEXEXTRACT(A73, ""PRD-([^/]+)"")"),"HappyGrow")</f>
        <v>HappyGrow</v>
      </c>
      <c r="F73" s="1" t="str">
        <f>IFERROR(__xludf.DUMMYFUNCTION("REGEXEXTRACT(A73, ""OPQ\s+(\d+)"")"),"15420")</f>
        <v>15420</v>
      </c>
      <c r="G73" s="1" t="str">
        <f>IFERROR(__xludf.DUMMYFUNCTION("REGEXEXTRACT(A73, ""NPQ\[.*?\](\d+)"")"),"16808")</f>
        <v>16808</v>
      </c>
    </row>
    <row r="74">
      <c r="A74" s="2" t="s">
        <v>187</v>
      </c>
      <c r="B74" s="1" t="str">
        <f>IFERROR(__xludf.DUMMYFUNCTION("REGEXEXTRACT(A74, ""Month\d+"")"),"Month3")</f>
        <v>Month3</v>
      </c>
      <c r="C74" s="1" t="str">
        <f>IFERROR(__xludf.DUMMYFUNCTION("REGEXEXTRACT(A74, ""#([A-Z])#"")
"),"N")</f>
        <v>N</v>
      </c>
      <c r="D74" s="1" t="str">
        <f>IFERROR(__xludf.DUMMYFUNCTION("REGEXEXTRACT(A74, ""City_([^/]+)"")"),"Mumbai")</f>
        <v>Mumbai</v>
      </c>
      <c r="E74" s="1" t="str">
        <f>IFERROR(__xludf.DUMMYFUNCTION("REGEXEXTRACT(A74, ""PRD-([^/]+)"")"),"PowerSip")</f>
        <v>PowerSip</v>
      </c>
      <c r="F74" s="1" t="str">
        <f>IFERROR(__xludf.DUMMYFUNCTION("REGEXEXTRACT(A74, ""OPQ\s+(\d+)"")"),"26907")</f>
        <v>26907</v>
      </c>
      <c r="G74" s="1" t="str">
        <f>IFERROR(__xludf.DUMMYFUNCTION("REGEXEXTRACT(A74, ""NPQ\[.*?\](\d+)"")"),"31751")</f>
        <v>31751</v>
      </c>
    </row>
    <row r="75">
      <c r="A75" s="2" t="s">
        <v>188</v>
      </c>
      <c r="B75" s="1" t="str">
        <f>IFERROR(__xludf.DUMMYFUNCTION("REGEXEXTRACT(A75, ""Month\d+"")"),"Month3")</f>
        <v>Month3</v>
      </c>
      <c r="C75" s="1" t="str">
        <f>IFERROR(__xludf.DUMMYFUNCTION("REGEXEXTRACT(A75, ""#([A-Z])#"")
"),"N")</f>
        <v>N</v>
      </c>
      <c r="D75" s="1" t="str">
        <f>IFERROR(__xludf.DUMMYFUNCTION("REGEXEXTRACT(A75, ""City_([^/]+)"")"),"Mumbai")</f>
        <v>Mumbai</v>
      </c>
      <c r="E75" s="1" t="str">
        <f>IFERROR(__xludf.DUMMYFUNCTION("REGEXEXTRACT(A75, ""PRD-([^/]+)"")"),"HappyGrow")</f>
        <v>HappyGrow</v>
      </c>
      <c r="F75" s="1" t="str">
        <f>IFERROR(__xludf.DUMMYFUNCTION("REGEXEXTRACT(A75, ""OPQ\s+(\d+)"")"),"26814")</f>
        <v>26814</v>
      </c>
      <c r="G75" s="1" t="str">
        <f>IFERROR(__xludf.DUMMYFUNCTION("REGEXEXTRACT(A75, ""NPQ\[.*?\](\d+)"")"),"29228")</f>
        <v>29228</v>
      </c>
    </row>
    <row r="76">
      <c r="A76" s="2" t="s">
        <v>189</v>
      </c>
      <c r="B76" s="1" t="str">
        <f>IFERROR(__xludf.DUMMYFUNCTION("REGEXEXTRACT(A76, ""Month\d+"")"),"Month3")</f>
        <v>Month3</v>
      </c>
      <c r="C76" s="1" t="str">
        <f>IFERROR(__xludf.DUMMYFUNCTION("REGEXEXTRACT(A76, ""#([A-Z])#"")
"),"E")</f>
        <v>E</v>
      </c>
      <c r="D76" s="1" t="str">
        <f>IFERROR(__xludf.DUMMYFUNCTION("REGEXEXTRACT(A76, ""City_([^/]+)"")"),"Mumbai")</f>
        <v>Mumbai</v>
      </c>
      <c r="E76" s="1" t="str">
        <f>IFERROR(__xludf.DUMMYFUNCTION("REGEXEXTRACT(A76, ""PRD-([^/]+)"")"),"PowerSip")</f>
        <v>PowerSip</v>
      </c>
      <c r="F76" s="1" t="str">
        <f>IFERROR(__xludf.DUMMYFUNCTION("REGEXEXTRACT(A76, ""OPQ\s+(\d+)"")"),"15088")</f>
        <v>15088</v>
      </c>
      <c r="G76" s="1" t="str">
        <f>IFERROR(__xludf.DUMMYFUNCTION("REGEXEXTRACT(A76, ""NPQ\[.*?\](\d+)"")"),"17804")</f>
        <v>17804</v>
      </c>
    </row>
    <row r="77">
      <c r="A77" s="2" t="s">
        <v>190</v>
      </c>
      <c r="B77" s="1" t="str">
        <f>IFERROR(__xludf.DUMMYFUNCTION("REGEXEXTRACT(A77, ""Month\d+"")"),"Month3")</f>
        <v>Month3</v>
      </c>
      <c r="C77" s="1" t="str">
        <f>IFERROR(__xludf.DUMMYFUNCTION("REGEXEXTRACT(A77, ""#([A-Z])#"")
"),"E")</f>
        <v>E</v>
      </c>
      <c r="D77" s="1" t="str">
        <f>IFERROR(__xludf.DUMMYFUNCTION("REGEXEXTRACT(A77, ""City_([^/]+)"")"),"Mumbai")</f>
        <v>Mumbai</v>
      </c>
      <c r="E77" s="1" t="str">
        <f>IFERROR(__xludf.DUMMYFUNCTION("REGEXEXTRACT(A77, ""PRD-([^/]+)"")"),"HappyGrow")</f>
        <v>HappyGrow</v>
      </c>
      <c r="F77" s="1" t="str">
        <f>IFERROR(__xludf.DUMMYFUNCTION("REGEXEXTRACT(A77, ""OPQ\s+(\d+)"")"),"18724")</f>
        <v>18724</v>
      </c>
      <c r="G77" s="1" t="str">
        <f>IFERROR(__xludf.DUMMYFUNCTION("REGEXEXTRACT(A77, ""NPQ\[.*?\](\d+)"")"),"20410")</f>
        <v>20410</v>
      </c>
    </row>
    <row r="78">
      <c r="A78" s="2" t="s">
        <v>191</v>
      </c>
      <c r="B78" s="1" t="str">
        <f>IFERROR(__xludf.DUMMYFUNCTION("REGEXEXTRACT(A78, ""Month\d+"")"),"Month3")</f>
        <v>Month3</v>
      </c>
      <c r="C78" s="1" t="str">
        <f>IFERROR(__xludf.DUMMYFUNCTION("REGEXEXTRACT(A78, ""#([A-Z])#"")
"),"W")</f>
        <v>W</v>
      </c>
      <c r="D78" s="1" t="str">
        <f>IFERROR(__xludf.DUMMYFUNCTION("REGEXEXTRACT(A78, ""City_([^/]+)"")"),"Mumbai")</f>
        <v>Mumbai</v>
      </c>
      <c r="E78" s="1" t="str">
        <f>IFERROR(__xludf.DUMMYFUNCTION("REGEXEXTRACT(A78, ""PRD-([^/]+)"")"),"PowerSip")</f>
        <v>PowerSip</v>
      </c>
      <c r="F78" s="1" t="str">
        <f>IFERROR(__xludf.DUMMYFUNCTION("REGEXEXTRACT(A78, ""OPQ\s+(\d+)"")"),"23639")</f>
        <v>23639</v>
      </c>
      <c r="G78" s="1" t="str">
        <f>IFERROR(__xludf.DUMMYFUNCTION("REGEXEXTRACT(A78, ""NPQ\[.*?\](\d+)"")"),"27895")</f>
        <v>27895</v>
      </c>
    </row>
    <row r="79">
      <c r="A79" s="2" t="s">
        <v>192</v>
      </c>
      <c r="B79" s="1" t="str">
        <f>IFERROR(__xludf.DUMMYFUNCTION("REGEXEXTRACT(A79, ""Month\d+"")"),"Month3")</f>
        <v>Month3</v>
      </c>
      <c r="C79" s="1" t="str">
        <f>IFERROR(__xludf.DUMMYFUNCTION("REGEXEXTRACT(A79, ""#([A-Z])#"")
"),"W")</f>
        <v>W</v>
      </c>
      <c r="D79" s="1" t="str">
        <f>IFERROR(__xludf.DUMMYFUNCTION("REGEXEXTRACT(A79, ""City_([^/]+)"")"),"Mumbai")</f>
        <v>Mumbai</v>
      </c>
      <c r="E79" s="1" t="str">
        <f>IFERROR(__xludf.DUMMYFUNCTION("REGEXEXTRACT(A79, ""PRD-([^/]+)"")"),"HappyGrow")</f>
        <v>HappyGrow</v>
      </c>
      <c r="F79" s="1" t="str">
        <f>IFERROR(__xludf.DUMMYFUNCTION("REGEXEXTRACT(A79, ""OPQ\s+(\d+)"")"),"13005")</f>
        <v>13005</v>
      </c>
      <c r="G79" s="1" t="str">
        <f>IFERROR(__xludf.DUMMYFUNCTION("REGEXEXTRACT(A79, ""NPQ\[.*?\](\d+)"")"),"14306")</f>
        <v>14306</v>
      </c>
    </row>
    <row r="80">
      <c r="A80" s="2" t="s">
        <v>193</v>
      </c>
      <c r="B80" s="1" t="str">
        <f>IFERROR(__xludf.DUMMYFUNCTION("REGEXEXTRACT(A80, ""Month\d+"")"),"Month3")</f>
        <v>Month3</v>
      </c>
      <c r="C80" s="1" t="str">
        <f>IFERROR(__xludf.DUMMYFUNCTION("REGEXEXTRACT(A80, ""#([A-Z])#"")
"),"S")</f>
        <v>S</v>
      </c>
      <c r="D80" s="1" t="str">
        <f>IFERROR(__xludf.DUMMYFUNCTION("REGEXEXTRACT(A80, ""City_([^/]+)"")"),"Mumbai")</f>
        <v>Mumbai</v>
      </c>
      <c r="E80" s="1" t="str">
        <f>IFERROR(__xludf.DUMMYFUNCTION("REGEXEXTRACT(A80, ""PRD-([^/]+)"")"),"PowerSip")</f>
        <v>PowerSip</v>
      </c>
      <c r="F80" s="1" t="str">
        <f>IFERROR(__xludf.DUMMYFUNCTION("REGEXEXTRACT(A80, ""OPQ\s+(\d+)"")"),"14595")</f>
        <v>14595</v>
      </c>
      <c r="G80" s="1" t="str">
        <f>IFERROR(__xludf.DUMMYFUNCTION("REGEXEXTRACT(A80, ""NPQ\[.*?\](\d+)"")"),"17369")</f>
        <v>17369</v>
      </c>
    </row>
    <row r="81">
      <c r="A81" s="2" t="s">
        <v>194</v>
      </c>
      <c r="B81" s="1" t="str">
        <f>IFERROR(__xludf.DUMMYFUNCTION("REGEXEXTRACT(A81, ""Month\d+"")"),"Month3")</f>
        <v>Month3</v>
      </c>
      <c r="C81" s="1" t="str">
        <f>IFERROR(__xludf.DUMMYFUNCTION("REGEXEXTRACT(A81, ""#([A-Z])#"")
"),"S")</f>
        <v>S</v>
      </c>
      <c r="D81" s="1" t="str">
        <f>IFERROR(__xludf.DUMMYFUNCTION("REGEXEXTRACT(A81, ""City_([^/]+)"")"),"Mumbai")</f>
        <v>Mumbai</v>
      </c>
      <c r="E81" s="1" t="str">
        <f>IFERROR(__xludf.DUMMYFUNCTION("REGEXEXTRACT(A81, ""PRD-([^/]+)"")"),"HappyGrow")</f>
        <v>HappyGrow</v>
      </c>
      <c r="F81" s="1" t="str">
        <f>IFERROR(__xludf.DUMMYFUNCTION("REGEXEXTRACT(A81, ""OPQ\s+(\d+)"")"),"15547")</f>
        <v>15547</v>
      </c>
      <c r="G81" s="1" t="str">
        <f>IFERROR(__xludf.DUMMYFUNCTION("REGEXEXTRACT(A81, ""NPQ\[.*?\](\d+)"")"),"17258")</f>
        <v>17258</v>
      </c>
    </row>
    <row r="82">
      <c r="A82" s="2" t="s">
        <v>195</v>
      </c>
      <c r="B82" s="1" t="str">
        <f>IFERROR(__xludf.DUMMYFUNCTION("REGEXEXTRACT(A82, ""Month\d+"")"),"Month3")</f>
        <v>Month3</v>
      </c>
      <c r="C82" s="1" t="str">
        <f>IFERROR(__xludf.DUMMYFUNCTION("REGEXEXTRACT(A82, ""#([A-Z])#"")
"),"N")</f>
        <v>N</v>
      </c>
      <c r="D82" s="1" t="str">
        <f>IFERROR(__xludf.DUMMYFUNCTION("REGEXEXTRACT(A82, ""City_([^/]+)"")"),"Bengaluru")</f>
        <v>Bengaluru</v>
      </c>
      <c r="E82" s="1" t="str">
        <f>IFERROR(__xludf.DUMMYFUNCTION("REGEXEXTRACT(A82, ""PRD-([^/]+)"")"),"PowerSip")</f>
        <v>PowerSip</v>
      </c>
      <c r="F82" s="1" t="str">
        <f>IFERROR(__xludf.DUMMYFUNCTION("REGEXEXTRACT(A82, ""OPQ\s+(\d+)"")"),"25743")</f>
        <v>25743</v>
      </c>
      <c r="G82" s="1" t="str">
        <f>IFERROR(__xludf.DUMMYFUNCTION("REGEXEXTRACT(A82, ""NPQ\[.*?\](\d+)"")"),"30635")</f>
        <v>30635</v>
      </c>
    </row>
    <row r="83">
      <c r="A83" s="2" t="s">
        <v>196</v>
      </c>
      <c r="B83" s="1" t="str">
        <f>IFERROR(__xludf.DUMMYFUNCTION("REGEXEXTRACT(A83, ""Month\d+"")"),"Month3")</f>
        <v>Month3</v>
      </c>
      <c r="C83" s="1" t="str">
        <f>IFERROR(__xludf.DUMMYFUNCTION("REGEXEXTRACT(A83, ""#([A-Z])#"")
"),"N")</f>
        <v>N</v>
      </c>
      <c r="D83" s="1" t="str">
        <f>IFERROR(__xludf.DUMMYFUNCTION("REGEXEXTRACT(A83, ""City_([^/]+)"")"),"Bengaluru")</f>
        <v>Bengaluru</v>
      </c>
      <c r="E83" s="1" t="str">
        <f>IFERROR(__xludf.DUMMYFUNCTION("REGEXEXTRACT(A83, ""PRD-([^/]+)"")"),"HappyGrow")</f>
        <v>HappyGrow</v>
      </c>
      <c r="F83" s="1" t="str">
        <f>IFERROR(__xludf.DUMMYFUNCTION("REGEXEXTRACT(A83, ""OPQ\s+(\d+)"")"),"21308")</f>
        <v>21308</v>
      </c>
      <c r="G83" s="1" t="str">
        <f>IFERROR(__xludf.DUMMYFUNCTION("REGEXEXTRACT(A83, ""NPQ\[.*?\](\d+)"")"),"23652")</f>
        <v>23652</v>
      </c>
    </row>
    <row r="84">
      <c r="A84" s="2" t="s">
        <v>197</v>
      </c>
      <c r="B84" s="1" t="str">
        <f>IFERROR(__xludf.DUMMYFUNCTION("REGEXEXTRACT(A84, ""Month\d+"")"),"Month3")</f>
        <v>Month3</v>
      </c>
      <c r="C84" s="1" t="str">
        <f>IFERROR(__xludf.DUMMYFUNCTION("REGEXEXTRACT(A84, ""#([A-Z])#"")
"),"E")</f>
        <v>E</v>
      </c>
      <c r="D84" s="1" t="str">
        <f>IFERROR(__xludf.DUMMYFUNCTION("REGEXEXTRACT(A84, ""City_([^/]+)"")"),"Bengaluru")</f>
        <v>Bengaluru</v>
      </c>
      <c r="E84" s="1" t="str">
        <f>IFERROR(__xludf.DUMMYFUNCTION("REGEXEXTRACT(A84, ""PRD-([^/]+)"")"),"PowerSip")</f>
        <v>PowerSip</v>
      </c>
      <c r="F84" s="1" t="str">
        <f>IFERROR(__xludf.DUMMYFUNCTION("REGEXEXTRACT(A84, ""OPQ\s+(\d+)"")"),"29101")</f>
        <v>29101</v>
      </c>
      <c r="G84" s="1" t="str">
        <f>IFERROR(__xludf.DUMMYFUNCTION("REGEXEXTRACT(A84, ""NPQ\[.*?\](\d+)"")"),"34631")</f>
        <v>34631</v>
      </c>
    </row>
    <row r="85">
      <c r="A85" s="2" t="s">
        <v>198</v>
      </c>
      <c r="B85" s="1" t="str">
        <f>IFERROR(__xludf.DUMMYFUNCTION("REGEXEXTRACT(A85, ""Month\d+"")"),"Month3")</f>
        <v>Month3</v>
      </c>
      <c r="C85" s="1" t="str">
        <f>IFERROR(__xludf.DUMMYFUNCTION("REGEXEXTRACT(A85, ""#([A-Z])#"")
"),"E")</f>
        <v>E</v>
      </c>
      <c r="D85" s="1" t="str">
        <f>IFERROR(__xludf.DUMMYFUNCTION("REGEXEXTRACT(A85, ""City_([^/]+)"")"),"Bengaluru")</f>
        <v>Bengaluru</v>
      </c>
      <c r="E85" s="1" t="str">
        <f>IFERROR(__xludf.DUMMYFUNCTION("REGEXEXTRACT(A85, ""PRD-([^/]+)"")"),"HappyGrow")</f>
        <v>HappyGrow</v>
      </c>
      <c r="F85" s="1" t="str">
        <f>IFERROR(__xludf.DUMMYFUNCTION("REGEXEXTRACT(A85, ""OPQ\s+(\d+)"")"),"17325")</f>
        <v>17325</v>
      </c>
      <c r="G85" s="1" t="str">
        <f>IFERROR(__xludf.DUMMYFUNCTION("REGEXEXTRACT(A85, ""NPQ\[.*?\](\d+)"")"),"19231")</f>
        <v>19231</v>
      </c>
    </row>
    <row r="86">
      <c r="A86" s="2" t="s">
        <v>199</v>
      </c>
      <c r="B86" s="1" t="str">
        <f>IFERROR(__xludf.DUMMYFUNCTION("REGEXEXTRACT(A86, ""Month\d+"")"),"Month3")</f>
        <v>Month3</v>
      </c>
      <c r="C86" s="1" t="str">
        <f>IFERROR(__xludf.DUMMYFUNCTION("REGEXEXTRACT(A86, ""#([A-Z])#"")
"),"W")</f>
        <v>W</v>
      </c>
      <c r="D86" s="1" t="str">
        <f>IFERROR(__xludf.DUMMYFUNCTION("REGEXEXTRACT(A86, ""City_([^/]+)"")"),"Bengaluru")</f>
        <v>Bengaluru</v>
      </c>
      <c r="E86" s="1" t="str">
        <f>IFERROR(__xludf.DUMMYFUNCTION("REGEXEXTRACT(A86, ""PRD-([^/]+)"")"),"PowerSip")</f>
        <v>PowerSip</v>
      </c>
      <c r="F86" s="1" t="str">
        <f>IFERROR(__xludf.DUMMYFUNCTION("REGEXEXTRACT(A86, ""OPQ\s+(\d+)"")"),"21579")</f>
        <v>21579</v>
      </c>
      <c r="G86" s="1" t="str">
        <f>IFERROR(__xludf.DUMMYFUNCTION("REGEXEXTRACT(A86, ""NPQ\[.*?\](\d+)"")"),"25895")</f>
        <v>25895</v>
      </c>
    </row>
    <row r="87">
      <c r="A87" s="2" t="s">
        <v>200</v>
      </c>
      <c r="B87" s="1" t="str">
        <f>IFERROR(__xludf.DUMMYFUNCTION("REGEXEXTRACT(A87, ""Month\d+"")"),"Month3")</f>
        <v>Month3</v>
      </c>
      <c r="C87" s="1" t="str">
        <f>IFERROR(__xludf.DUMMYFUNCTION("REGEXEXTRACT(A87, ""#([A-Z])#"")
"),"W")</f>
        <v>W</v>
      </c>
      <c r="D87" s="1" t="str">
        <f>IFERROR(__xludf.DUMMYFUNCTION("REGEXEXTRACT(A87, ""City_([^/]+)"")"),"Bengaluru")</f>
        <v>Bengaluru</v>
      </c>
      <c r="E87" s="1" t="str">
        <f>IFERROR(__xludf.DUMMYFUNCTION("REGEXEXTRACT(A87, ""PRD-([^/]+)"")"),"HappyGrow")</f>
        <v>HappyGrow</v>
      </c>
      <c r="F87" s="1" t="str">
        <f>IFERROR(__xludf.DUMMYFUNCTION("REGEXEXTRACT(A87, ""OPQ\s+(\d+)"")"),"16140")</f>
        <v>16140</v>
      </c>
      <c r="G87" s="1" t="str">
        <f>IFERROR(__xludf.DUMMYFUNCTION("REGEXEXTRACT(A87, ""NPQ\[.*?\](\d+)"")"),"17916")</f>
        <v>17916</v>
      </c>
    </row>
    <row r="88">
      <c r="A88" s="2" t="s">
        <v>201</v>
      </c>
      <c r="B88" s="1" t="str">
        <f>IFERROR(__xludf.DUMMYFUNCTION("REGEXEXTRACT(A88, ""Month\d+"")"),"Month3")</f>
        <v>Month3</v>
      </c>
      <c r="C88" s="1" t="str">
        <f>IFERROR(__xludf.DUMMYFUNCTION("REGEXEXTRACT(A88, ""#([A-Z])#"")
"),"S")</f>
        <v>S</v>
      </c>
      <c r="D88" s="1" t="str">
        <f>IFERROR(__xludf.DUMMYFUNCTION("REGEXEXTRACT(A88, ""City_([^/]+)"")"),"Bengaluru")</f>
        <v>Bengaluru</v>
      </c>
      <c r="E88" s="1" t="str">
        <f>IFERROR(__xludf.DUMMYFUNCTION("REGEXEXTRACT(A88, ""PRD-([^/]+)"")"),"PowerSip")</f>
        <v>PowerSip</v>
      </c>
      <c r="F88" s="1" t="str">
        <f>IFERROR(__xludf.DUMMYFUNCTION("REGEXEXTRACT(A88, ""OPQ\s+(\d+)"")"),"29817")</f>
        <v>29817</v>
      </c>
      <c r="G88" s="1" t="str">
        <f>IFERROR(__xludf.DUMMYFUNCTION("REGEXEXTRACT(A88, ""NPQ\[.*?\](\d+)"")"),"35781")</f>
        <v>35781</v>
      </c>
    </row>
    <row r="89">
      <c r="A89" s="2" t="s">
        <v>202</v>
      </c>
      <c r="B89" s="1" t="str">
        <f>IFERROR(__xludf.DUMMYFUNCTION("REGEXEXTRACT(A89, ""Month\d+"")"),"Month3")</f>
        <v>Month3</v>
      </c>
      <c r="C89" s="1" t="str">
        <f>IFERROR(__xludf.DUMMYFUNCTION("REGEXEXTRACT(A89, ""#([A-Z])#"")
"),"S")</f>
        <v>S</v>
      </c>
      <c r="D89" s="1" t="str">
        <f>IFERROR(__xludf.DUMMYFUNCTION("REGEXEXTRACT(A89, ""City_([^/]+)"")"),"Bengaluru")</f>
        <v>Bengaluru</v>
      </c>
      <c r="E89" s="1" t="str">
        <f>IFERROR(__xludf.DUMMYFUNCTION("REGEXEXTRACT(A89, ""PRD-([^/]+)"")"),"HappyGrow")</f>
        <v>HappyGrow</v>
      </c>
      <c r="F89" s="1" t="str">
        <f>IFERROR(__xludf.DUMMYFUNCTION("REGEXEXTRACT(A89, ""OPQ\s+(\d+)"")"),"28466")</f>
        <v>28466</v>
      </c>
      <c r="G89" s="1" t="str">
        <f>IFERROR(__xludf.DUMMYFUNCTION("REGEXEXTRACT(A89, ""NPQ\[.*?\](\d+)"")"),"31598")</f>
        <v>31598</v>
      </c>
    </row>
    <row r="90">
      <c r="A90" s="2" t="s">
        <v>203</v>
      </c>
      <c r="B90" s="1" t="str">
        <f>IFERROR(__xludf.DUMMYFUNCTION("REGEXEXTRACT(A90, ""Month\d+"")"),"Month3")</f>
        <v>Month3</v>
      </c>
      <c r="C90" s="1" t="str">
        <f>IFERROR(__xludf.DUMMYFUNCTION("REGEXEXTRACT(A90, ""#([A-Z])#"")
"),"N")</f>
        <v>N</v>
      </c>
      <c r="D90" s="1" t="str">
        <f>IFERROR(__xludf.DUMMYFUNCTION("REGEXEXTRACT(A90, ""City_([^/]+)"")"),"Delhi")</f>
        <v>Delhi</v>
      </c>
      <c r="E90" s="1" t="str">
        <f>IFERROR(__xludf.DUMMYFUNCTION("REGEXEXTRACT(A90, ""PRD-([^/]+)"")"),"PowerSip")</f>
        <v>PowerSip</v>
      </c>
      <c r="F90" s="1" t="str">
        <f>IFERROR(__xludf.DUMMYFUNCTION("REGEXEXTRACT(A90, ""OPQ\s+(\d+)"")"),"23997")</f>
        <v>23997</v>
      </c>
      <c r="G90" s="1" t="str">
        <f>IFERROR(__xludf.DUMMYFUNCTION("REGEXEXTRACT(A90, ""NPQ\[.*?\](\d+)"")"),"28797")</f>
        <v>28797</v>
      </c>
    </row>
    <row r="91">
      <c r="A91" s="2" t="s">
        <v>204</v>
      </c>
      <c r="B91" s="1" t="str">
        <f>IFERROR(__xludf.DUMMYFUNCTION("REGEXEXTRACT(A91, ""Month\d+"")"),"Month3")</f>
        <v>Month3</v>
      </c>
      <c r="C91" s="1" t="str">
        <f>IFERROR(__xludf.DUMMYFUNCTION("REGEXEXTRACT(A91, ""#([A-Z])#"")
"),"N")</f>
        <v>N</v>
      </c>
      <c r="D91" s="1" t="str">
        <f>IFERROR(__xludf.DUMMYFUNCTION("REGEXEXTRACT(A91, ""City_([^/]+)"")"),"Delhi")</f>
        <v>Delhi</v>
      </c>
      <c r="E91" s="1" t="str">
        <f>IFERROR(__xludf.DUMMYFUNCTION("REGEXEXTRACT(A91, ""PRD-([^/]+)"")"),"HappyGrow")</f>
        <v>HappyGrow</v>
      </c>
      <c r="F91" s="1" t="str">
        <f>IFERROR(__xludf.DUMMYFUNCTION("REGEXEXTRACT(A91, ""OPQ\s+(\d+)"")"),"14106")</f>
        <v>14106</v>
      </c>
      <c r="G91" s="1" t="str">
        <f>IFERROR(__xludf.DUMMYFUNCTION("REGEXEXTRACT(A91, ""NPQ\[.*?\](\d+)"")"),"15799")</f>
        <v>15799</v>
      </c>
    </row>
    <row r="92">
      <c r="A92" s="2" t="s">
        <v>205</v>
      </c>
      <c r="B92" s="1" t="str">
        <f>IFERROR(__xludf.DUMMYFUNCTION("REGEXEXTRACT(A92, ""Month\d+"")"),"Month3")</f>
        <v>Month3</v>
      </c>
      <c r="C92" s="1" t="str">
        <f>IFERROR(__xludf.DUMMYFUNCTION("REGEXEXTRACT(A92, ""#([A-Z])#"")
"),"E")</f>
        <v>E</v>
      </c>
      <c r="D92" s="1" t="str">
        <f>IFERROR(__xludf.DUMMYFUNCTION("REGEXEXTRACT(A92, ""City_([^/]+)"")"),"Delhi")</f>
        <v>Delhi</v>
      </c>
      <c r="E92" s="1" t="str">
        <f>IFERROR(__xludf.DUMMYFUNCTION("REGEXEXTRACT(A92, ""PRD-([^/]+)"")"),"PowerSip")</f>
        <v>PowerSip</v>
      </c>
      <c r="F92" s="1" t="str">
        <f>IFERROR(__xludf.DUMMYFUNCTION("REGEXEXTRACT(A92, ""OPQ\s+(\d+)"")"),"26101")</f>
        <v>26101</v>
      </c>
      <c r="G92" s="1" t="str">
        <f>IFERROR(__xludf.DUMMYFUNCTION("REGEXEXTRACT(A92, ""NPQ\[.*?\](\d+)"")"),"31583")</f>
        <v>31583</v>
      </c>
    </row>
    <row r="93">
      <c r="A93" s="2" t="s">
        <v>206</v>
      </c>
      <c r="B93" s="1" t="str">
        <f>IFERROR(__xludf.DUMMYFUNCTION("REGEXEXTRACT(A93, ""Month\d+"")"),"Month3")</f>
        <v>Month3</v>
      </c>
      <c r="C93" s="1" t="str">
        <f>IFERROR(__xludf.DUMMYFUNCTION("REGEXEXTRACT(A93, ""#([A-Z])#"")
"),"E")</f>
        <v>E</v>
      </c>
      <c r="D93" s="1" t="str">
        <f>IFERROR(__xludf.DUMMYFUNCTION("REGEXEXTRACT(A93, ""City_([^/]+)"")"),"Delhi")</f>
        <v>Delhi</v>
      </c>
      <c r="E93" s="1" t="str">
        <f>IFERROR(__xludf.DUMMYFUNCTION("REGEXEXTRACT(A93, ""PRD-([^/]+)"")"),"HappyGrow")</f>
        <v>HappyGrow</v>
      </c>
      <c r="F93" s="1" t="str">
        <f>IFERROR(__xludf.DUMMYFUNCTION("REGEXEXTRACT(A93, ""OPQ\s+(\d+)"")"),"15250")</f>
        <v>15250</v>
      </c>
      <c r="G93" s="1" t="str">
        <f>IFERROR(__xludf.DUMMYFUNCTION("REGEXEXTRACT(A93, ""NPQ\[.*?\](\d+)"")"),"17080")</f>
        <v>17080</v>
      </c>
    </row>
    <row r="94">
      <c r="A94" s="2" t="s">
        <v>207</v>
      </c>
      <c r="B94" s="1" t="str">
        <f>IFERROR(__xludf.DUMMYFUNCTION("REGEXEXTRACT(A94, ""Month\d+"")"),"Month3")</f>
        <v>Month3</v>
      </c>
      <c r="C94" s="1" t="str">
        <f>IFERROR(__xludf.DUMMYFUNCTION("REGEXEXTRACT(A94, ""#([A-Z])#"")
"),"W")</f>
        <v>W</v>
      </c>
      <c r="D94" s="1" t="str">
        <f>IFERROR(__xludf.DUMMYFUNCTION("REGEXEXTRACT(A94, ""City_([^/]+)"")"),"Delhi")</f>
        <v>Delhi</v>
      </c>
      <c r="E94" s="1" t="str">
        <f>IFERROR(__xludf.DUMMYFUNCTION("REGEXEXTRACT(A94, ""PRD-([^/]+)"")"),"PowerSip")</f>
        <v>PowerSip</v>
      </c>
      <c r="F94" s="1" t="str">
        <f>IFERROR(__xludf.DUMMYFUNCTION("REGEXEXTRACT(A94, ""OPQ\s+(\d+)"")"),"24310")</f>
        <v>24310</v>
      </c>
      <c r="G94" s="1" t="str">
        <f>IFERROR(__xludf.DUMMYFUNCTION("REGEXEXTRACT(A94, ""NPQ\[.*?\](\d+)"")"),"29416")</f>
        <v>29416</v>
      </c>
    </row>
    <row r="95">
      <c r="A95" s="2" t="s">
        <v>208</v>
      </c>
      <c r="B95" s="1" t="str">
        <f>IFERROR(__xludf.DUMMYFUNCTION("REGEXEXTRACT(A95, ""Month\d+"")"),"Month3")</f>
        <v>Month3</v>
      </c>
      <c r="C95" s="1" t="str">
        <f>IFERROR(__xludf.DUMMYFUNCTION("REGEXEXTRACT(A95, ""#([A-Z])#"")
"),"W")</f>
        <v>W</v>
      </c>
      <c r="D95" s="1" t="str">
        <f>IFERROR(__xludf.DUMMYFUNCTION("REGEXEXTRACT(A95, ""City_([^/]+)"")"),"Delhi")</f>
        <v>Delhi</v>
      </c>
      <c r="E95" s="1" t="str">
        <f>IFERROR(__xludf.DUMMYFUNCTION("REGEXEXTRACT(A95, ""PRD-([^/]+)"")"),"HappyGrow")</f>
        <v>HappyGrow</v>
      </c>
      <c r="F95" s="1" t="str">
        <f>IFERROR(__xludf.DUMMYFUNCTION("REGEXEXTRACT(A95, ""OPQ\s+(\d+)"")"),"17453")</f>
        <v>17453</v>
      </c>
      <c r="G95" s="1" t="str">
        <f>IFERROR(__xludf.DUMMYFUNCTION("REGEXEXTRACT(A95, ""NPQ\[.*?\](\d+)"")"),"19548")</f>
        <v>19548</v>
      </c>
    </row>
    <row r="96">
      <c r="A96" s="2" t="s">
        <v>209</v>
      </c>
      <c r="B96" s="1" t="str">
        <f>IFERROR(__xludf.DUMMYFUNCTION("REGEXEXTRACT(A96, ""Month\d+"")"),"Month3")</f>
        <v>Month3</v>
      </c>
      <c r="C96" s="1" t="str">
        <f>IFERROR(__xludf.DUMMYFUNCTION("REGEXEXTRACT(A96, ""#([A-Z])#"")
"),"S")</f>
        <v>S</v>
      </c>
      <c r="D96" s="1" t="str">
        <f>IFERROR(__xludf.DUMMYFUNCTION("REGEXEXTRACT(A96, ""City_([^/]+)"")"),"Delhi")</f>
        <v>Delhi</v>
      </c>
      <c r="E96" s="1" t="str">
        <f>IFERROR(__xludf.DUMMYFUNCTION("REGEXEXTRACT(A96, ""PRD-([^/]+)"")"),"PowerSip")</f>
        <v>PowerSip</v>
      </c>
      <c r="F96" s="1" t="str">
        <f>IFERROR(__xludf.DUMMYFUNCTION("REGEXEXTRACT(A96, ""OPQ\s+(\d+)"")"),"20953")</f>
        <v>20953</v>
      </c>
      <c r="G96" s="1" t="str">
        <f>IFERROR(__xludf.DUMMYFUNCTION("REGEXEXTRACT(A96, ""NPQ\[.*?\](\d+)"")"),"25354")</f>
        <v>25354</v>
      </c>
    </row>
    <row r="97">
      <c r="A97" s="2" t="s">
        <v>210</v>
      </c>
      <c r="B97" s="1" t="str">
        <f>IFERROR(__xludf.DUMMYFUNCTION("REGEXEXTRACT(A97, ""Month\d+"")"),"Month3")</f>
        <v>Month3</v>
      </c>
      <c r="C97" s="1" t="str">
        <f>IFERROR(__xludf.DUMMYFUNCTION("REGEXEXTRACT(A97, ""#([A-Z])#"")
"),"S")</f>
        <v>S</v>
      </c>
      <c r="D97" s="1" t="str">
        <f>IFERROR(__xludf.DUMMYFUNCTION("REGEXEXTRACT(A97, ""City_([^/]+)"")"),"Delhi")</f>
        <v>Delhi</v>
      </c>
      <c r="E97" s="1" t="str">
        <f>IFERROR(__xludf.DUMMYFUNCTION("REGEXEXTRACT(A97, ""PRD-([^/]+)"")"),"HappyGrow")</f>
        <v>HappyGrow</v>
      </c>
      <c r="F97" s="1" t="str">
        <f>IFERROR(__xludf.DUMMYFUNCTION("REGEXEXTRACT(A97, ""OPQ\s+(\d+)"")"),"26180")</f>
        <v>26180</v>
      </c>
      <c r="G97" s="1" t="str">
        <f>IFERROR(__xludf.DUMMYFUNCTION("REGEXEXTRACT(A97, ""NPQ\[.*?\](\d+)"")"),"29322")</f>
        <v>29322</v>
      </c>
    </row>
    <row r="98">
      <c r="A98" s="2" t="s">
        <v>211</v>
      </c>
      <c r="B98" s="1" t="str">
        <f>IFERROR(__xludf.DUMMYFUNCTION("REGEXEXTRACT(A98, ""Month\d+"")"),"Month4")</f>
        <v>Month4</v>
      </c>
      <c r="C98" s="1" t="str">
        <f>IFERROR(__xludf.DUMMYFUNCTION("REGEXEXTRACT(A98, ""#([A-Z])#"")
"),"N")</f>
        <v>N</v>
      </c>
      <c r="D98" s="1" t="str">
        <f>IFERROR(__xludf.DUMMYFUNCTION("REGEXEXTRACT(A98, ""City_([^/]+)"")"),"Chennai")</f>
        <v>Chennai</v>
      </c>
      <c r="E98" s="1" t="str">
        <f>IFERROR(__xludf.DUMMYFUNCTION("REGEXEXTRACT(A98, ""PRD-([^/]+)"")"),"PowerSip")</f>
        <v>PowerSip</v>
      </c>
      <c r="F98" s="1" t="str">
        <f>IFERROR(__xludf.DUMMYFUNCTION("REGEXEXTRACT(A98, ""OPQ\s+(\d+)"")"),"28613")</f>
        <v>28613</v>
      </c>
      <c r="G98" s="1" t="str">
        <f>IFERROR(__xludf.DUMMYFUNCTION("REGEXEXTRACT(A98, ""NPQ\[.*?\](\d+)"")"),"34908")</f>
        <v>34908</v>
      </c>
    </row>
    <row r="99">
      <c r="A99" s="2" t="s">
        <v>212</v>
      </c>
      <c r="B99" s="1" t="str">
        <f>IFERROR(__xludf.DUMMYFUNCTION("REGEXEXTRACT(A99, ""Month\d+"")"),"Month4")</f>
        <v>Month4</v>
      </c>
      <c r="C99" s="1" t="str">
        <f>IFERROR(__xludf.DUMMYFUNCTION("REGEXEXTRACT(A99, ""#([A-Z])#"")
"),"N")</f>
        <v>N</v>
      </c>
      <c r="D99" s="1" t="str">
        <f>IFERROR(__xludf.DUMMYFUNCTION("REGEXEXTRACT(A99, ""City_([^/]+)"")"),"Chennai")</f>
        <v>Chennai</v>
      </c>
      <c r="E99" s="1" t="str">
        <f>IFERROR(__xludf.DUMMYFUNCTION("REGEXEXTRACT(A99, ""PRD-([^/]+)"")"),"HappyGrow")</f>
        <v>HappyGrow</v>
      </c>
      <c r="F99" s="1" t="str">
        <f>IFERROR(__xludf.DUMMYFUNCTION("REGEXEXTRACT(A99, ""OPQ\s+(\d+)"")"),"20397")</f>
        <v>20397</v>
      </c>
      <c r="G99" s="1" t="str">
        <f>IFERROR(__xludf.DUMMYFUNCTION("REGEXEXTRACT(A99, ""NPQ\[.*?\](\d+)"")"),"23049")</f>
        <v>23049</v>
      </c>
    </row>
    <row r="100">
      <c r="A100" s="2" t="s">
        <v>213</v>
      </c>
      <c r="B100" s="1" t="str">
        <f>IFERROR(__xludf.DUMMYFUNCTION("REGEXEXTRACT(A100, ""Month\d+"")"),"Month4")</f>
        <v>Month4</v>
      </c>
      <c r="C100" s="1" t="str">
        <f>IFERROR(__xludf.DUMMYFUNCTION("REGEXEXTRACT(A100, ""#([A-Z])#"")
"),"E")</f>
        <v>E</v>
      </c>
      <c r="D100" s="1" t="str">
        <f>IFERROR(__xludf.DUMMYFUNCTION("REGEXEXTRACT(A100, ""City_([^/]+)"")"),"Chennai")</f>
        <v>Chennai</v>
      </c>
      <c r="E100" s="1" t="str">
        <f>IFERROR(__xludf.DUMMYFUNCTION("REGEXEXTRACT(A100, ""PRD-([^/]+)"")"),"PowerSip")</f>
        <v>PowerSip</v>
      </c>
      <c r="F100" s="1" t="str">
        <f>IFERROR(__xludf.DUMMYFUNCTION("REGEXEXTRACT(A100, ""OPQ\s+(\d+)"")"),"15267")</f>
        <v>15267</v>
      </c>
      <c r="G100" s="1" t="str">
        <f>IFERROR(__xludf.DUMMYFUNCTION("REGEXEXTRACT(A100, ""NPQ\[.*?\](\d+)"")"),"18626")</f>
        <v>18626</v>
      </c>
    </row>
    <row r="101">
      <c r="A101" s="2" t="s">
        <v>214</v>
      </c>
      <c r="B101" s="1" t="str">
        <f>IFERROR(__xludf.DUMMYFUNCTION("REGEXEXTRACT(A101, ""Month\d+"")"),"Month4")</f>
        <v>Month4</v>
      </c>
      <c r="C101" s="1" t="str">
        <f>IFERROR(__xludf.DUMMYFUNCTION("REGEXEXTRACT(A101, ""#([A-Z])#"")
"),"E")</f>
        <v>E</v>
      </c>
      <c r="D101" s="1" t="str">
        <f>IFERROR(__xludf.DUMMYFUNCTION("REGEXEXTRACT(A101, ""City_([^/]+)"")"),"Chennai")</f>
        <v>Chennai</v>
      </c>
      <c r="E101" s="1" t="str">
        <f>IFERROR(__xludf.DUMMYFUNCTION("REGEXEXTRACT(A101, ""PRD-([^/]+)"")"),"HappyGrow")</f>
        <v>HappyGrow</v>
      </c>
      <c r="F101" s="1" t="str">
        <f>IFERROR(__xludf.DUMMYFUNCTION("REGEXEXTRACT(A101, ""OPQ\s+(\d+)"")"),"27377")</f>
        <v>27377</v>
      </c>
      <c r="G101" s="1" t="str">
        <f>IFERROR(__xludf.DUMMYFUNCTION("REGEXEXTRACT(A101, ""NPQ\[.*?\](\d+)"")"),"30937")</f>
        <v>30937</v>
      </c>
    </row>
    <row r="102">
      <c r="A102" s="2" t="s">
        <v>215</v>
      </c>
      <c r="B102" s="1" t="str">
        <f>IFERROR(__xludf.DUMMYFUNCTION("REGEXEXTRACT(A102, ""Month\d+"")"),"Month4")</f>
        <v>Month4</v>
      </c>
      <c r="C102" s="1" t="str">
        <f>IFERROR(__xludf.DUMMYFUNCTION("REGEXEXTRACT(A102, ""#([A-Z])#"")
"),"W")</f>
        <v>W</v>
      </c>
      <c r="D102" s="1" t="str">
        <f>IFERROR(__xludf.DUMMYFUNCTION("REGEXEXTRACT(A102, ""City_([^/]+)"")"),"Chennai")</f>
        <v>Chennai</v>
      </c>
      <c r="E102" s="1" t="str">
        <f>IFERROR(__xludf.DUMMYFUNCTION("REGEXEXTRACT(A102, ""PRD-([^/]+)"")"),"PowerSip")</f>
        <v>PowerSip</v>
      </c>
      <c r="F102" s="1" t="str">
        <f>IFERROR(__xludf.DUMMYFUNCTION("REGEXEXTRACT(A102, ""OPQ\s+(\d+)"")"),"18271")</f>
        <v>18271</v>
      </c>
      <c r="G102" s="1" t="str">
        <f>IFERROR(__xludf.DUMMYFUNCTION("REGEXEXTRACT(A102, ""NPQ\[.*?\](\d+)"")"),"22291")</f>
        <v>22291</v>
      </c>
    </row>
    <row r="103">
      <c r="A103" s="2" t="s">
        <v>216</v>
      </c>
      <c r="B103" s="1" t="str">
        <f>IFERROR(__xludf.DUMMYFUNCTION("REGEXEXTRACT(A103, ""Month\d+"")"),"Month4")</f>
        <v>Month4</v>
      </c>
      <c r="C103" s="1" t="str">
        <f>IFERROR(__xludf.DUMMYFUNCTION("REGEXEXTRACT(A103, ""#([A-Z])#"")
"),"W")</f>
        <v>W</v>
      </c>
      <c r="D103" s="1" t="str">
        <f>IFERROR(__xludf.DUMMYFUNCTION("REGEXEXTRACT(A103, ""City_([^/]+)"")"),"Chennai")</f>
        <v>Chennai</v>
      </c>
      <c r="E103" s="1" t="str">
        <f>IFERROR(__xludf.DUMMYFUNCTION("REGEXEXTRACT(A103, ""PRD-([^/]+)"")"),"HappyGrow")</f>
        <v>HappyGrow</v>
      </c>
      <c r="F103" s="1" t="str">
        <f>IFERROR(__xludf.DUMMYFUNCTION("REGEXEXTRACT(A103, ""OPQ\s+(\d+)"")"),"19354")</f>
        <v>19354</v>
      </c>
      <c r="G103" s="1" t="str">
        <f>IFERROR(__xludf.DUMMYFUNCTION("REGEXEXTRACT(A103, ""NPQ\[.*?\](\d+)"")"),"21871")</f>
        <v>21871</v>
      </c>
    </row>
    <row r="104">
      <c r="A104" s="2" t="s">
        <v>217</v>
      </c>
      <c r="B104" s="1" t="str">
        <f>IFERROR(__xludf.DUMMYFUNCTION("REGEXEXTRACT(A104, ""Month\d+"")"),"Month4")</f>
        <v>Month4</v>
      </c>
      <c r="C104" s="1" t="str">
        <f>IFERROR(__xludf.DUMMYFUNCTION("REGEXEXTRACT(A104, ""#([A-Z])#"")
"),"S")</f>
        <v>S</v>
      </c>
      <c r="D104" s="1" t="str">
        <f>IFERROR(__xludf.DUMMYFUNCTION("REGEXEXTRACT(A104, ""City_([^/]+)"")"),"Chennai")</f>
        <v>Chennai</v>
      </c>
      <c r="E104" s="1" t="str">
        <f>IFERROR(__xludf.DUMMYFUNCTION("REGEXEXTRACT(A104, ""PRD-([^/]+)"")"),"PowerSip")</f>
        <v>PowerSip</v>
      </c>
      <c r="F104" s="1" t="str">
        <f>IFERROR(__xludf.DUMMYFUNCTION("REGEXEXTRACT(A104, ""OPQ\s+(\d+)"")"),"33045")</f>
        <v>33045</v>
      </c>
      <c r="G104" s="1" t="str">
        <f>IFERROR(__xludf.DUMMYFUNCTION("REGEXEXTRACT(A104, ""NPQ\[.*?\](\d+)"")"),"40646")</f>
        <v>40646</v>
      </c>
    </row>
    <row r="105">
      <c r="A105" s="2" t="s">
        <v>218</v>
      </c>
      <c r="B105" s="1" t="str">
        <f>IFERROR(__xludf.DUMMYFUNCTION("REGEXEXTRACT(A105, ""Month\d+"")"),"Month4")</f>
        <v>Month4</v>
      </c>
      <c r="C105" s="1" t="str">
        <f>IFERROR(__xludf.DUMMYFUNCTION("REGEXEXTRACT(A105, ""#([A-Z])#"")
"),"S")</f>
        <v>S</v>
      </c>
      <c r="D105" s="1" t="str">
        <f>IFERROR(__xludf.DUMMYFUNCTION("REGEXEXTRACT(A105, ""City_([^/]+)"")"),"Chennai")</f>
        <v>Chennai</v>
      </c>
      <c r="E105" s="1" t="str">
        <f>IFERROR(__xludf.DUMMYFUNCTION("REGEXEXTRACT(A105, ""PRD-([^/]+)"")"),"HappyGrow")</f>
        <v>HappyGrow</v>
      </c>
      <c r="F105" s="1" t="str">
        <f>IFERROR(__xludf.DUMMYFUNCTION("REGEXEXTRACT(A105, ""OPQ\s+(\d+)"")"),"16499")</f>
        <v>16499</v>
      </c>
      <c r="G105" s="1" t="str">
        <f>IFERROR(__xludf.DUMMYFUNCTION("REGEXEXTRACT(A105, ""NPQ\[.*?\](\d+)"")"),"18644")</f>
        <v>18644</v>
      </c>
    </row>
    <row r="106">
      <c r="A106" s="2" t="s">
        <v>219</v>
      </c>
      <c r="B106" s="1" t="str">
        <f>IFERROR(__xludf.DUMMYFUNCTION("REGEXEXTRACT(A106, ""Month\d+"")"),"Month4")</f>
        <v>Month4</v>
      </c>
      <c r="C106" s="1" t="str">
        <f>IFERROR(__xludf.DUMMYFUNCTION("REGEXEXTRACT(A106, ""#([A-Z])#"")
"),"N")</f>
        <v>N</v>
      </c>
      <c r="D106" s="1" t="str">
        <f>IFERROR(__xludf.DUMMYFUNCTION("REGEXEXTRACT(A106, ""City_([^/]+)"")"),"Mumbai")</f>
        <v>Mumbai</v>
      </c>
      <c r="E106" s="1" t="str">
        <f>IFERROR(__xludf.DUMMYFUNCTION("REGEXEXTRACT(A106, ""PRD-([^/]+)"")"),"PowerSip")</f>
        <v>PowerSip</v>
      </c>
      <c r="F106" s="1" t="str">
        <f>IFERROR(__xludf.DUMMYFUNCTION("REGEXEXTRACT(A106, ""OPQ\s+(\d+)"")"),"29598")</f>
        <v>29598</v>
      </c>
      <c r="G106" s="1" t="str">
        <f>IFERROR(__xludf.DUMMYFUNCTION("REGEXEXTRACT(A106, ""NPQ\[.*?\](\d+)"")"),"36702")</f>
        <v>36702</v>
      </c>
    </row>
    <row r="107">
      <c r="A107" s="2" t="s">
        <v>220</v>
      </c>
      <c r="B107" s="1" t="str">
        <f>IFERROR(__xludf.DUMMYFUNCTION("REGEXEXTRACT(A107, ""Month\d+"")"),"Month4")</f>
        <v>Month4</v>
      </c>
      <c r="C107" s="1" t="str">
        <f>IFERROR(__xludf.DUMMYFUNCTION("REGEXEXTRACT(A107, ""#([A-Z])#"")
"),"N")</f>
        <v>N</v>
      </c>
      <c r="D107" s="1" t="str">
        <f>IFERROR(__xludf.DUMMYFUNCTION("REGEXEXTRACT(A107, ""City_([^/]+)"")"),"Mumbai")</f>
        <v>Mumbai</v>
      </c>
      <c r="E107" s="1" t="str">
        <f>IFERROR(__xludf.DUMMYFUNCTION("REGEXEXTRACT(A107, ""PRD-([^/]+)"")"),"HappyGrow")</f>
        <v>HappyGrow</v>
      </c>
      <c r="F107" s="1" t="str">
        <f>IFERROR(__xludf.DUMMYFUNCTION("REGEXEXTRACT(A107, ""OPQ\s+(\d+)"")"),"28691")</f>
        <v>28691</v>
      </c>
      <c r="G107" s="1" t="str">
        <f>IFERROR(__xludf.DUMMYFUNCTION("REGEXEXTRACT(A107, ""NPQ\[.*?\](\d+)"")"),"32708")</f>
        <v>32708</v>
      </c>
    </row>
    <row r="108">
      <c r="A108" s="2" t="s">
        <v>221</v>
      </c>
      <c r="B108" s="1" t="str">
        <f>IFERROR(__xludf.DUMMYFUNCTION("REGEXEXTRACT(A108, ""Month\d+"")"),"Month4")</f>
        <v>Month4</v>
      </c>
      <c r="C108" s="1" t="str">
        <f>IFERROR(__xludf.DUMMYFUNCTION("REGEXEXTRACT(A108, ""#([A-Z])#"")
"),"E")</f>
        <v>E</v>
      </c>
      <c r="D108" s="1" t="str">
        <f>IFERROR(__xludf.DUMMYFUNCTION("REGEXEXTRACT(A108, ""City_([^/]+)"")"),"Mumbai")</f>
        <v>Mumbai</v>
      </c>
      <c r="E108" s="1" t="str">
        <f>IFERROR(__xludf.DUMMYFUNCTION("REGEXEXTRACT(A108, ""PRD-([^/]+)"")"),"PowerSip")</f>
        <v>PowerSip</v>
      </c>
      <c r="F108" s="1" t="str">
        <f>IFERROR(__xludf.DUMMYFUNCTION("REGEXEXTRACT(A108, ""OPQ\s+(\d+)"")"),"16597")</f>
        <v>16597</v>
      </c>
      <c r="G108" s="1" t="str">
        <f>IFERROR(__xludf.DUMMYFUNCTION("REGEXEXTRACT(A108, ""NPQ\[.*?\](\d+)"")"),"20747")</f>
        <v>20747</v>
      </c>
    </row>
    <row r="109">
      <c r="A109" s="2" t="s">
        <v>222</v>
      </c>
      <c r="B109" s="1" t="str">
        <f>IFERROR(__xludf.DUMMYFUNCTION("REGEXEXTRACT(A109, ""Month\d+"")"),"Month4")</f>
        <v>Month4</v>
      </c>
      <c r="C109" s="1" t="str">
        <f>IFERROR(__xludf.DUMMYFUNCTION("REGEXEXTRACT(A109, ""#([A-Z])#"")
"),"E")</f>
        <v>E</v>
      </c>
      <c r="D109" s="1" t="str">
        <f>IFERROR(__xludf.DUMMYFUNCTION("REGEXEXTRACT(A109, ""City_([^/]+)"")"),"Mumbai")</f>
        <v>Mumbai</v>
      </c>
      <c r="E109" s="1" t="str">
        <f>IFERROR(__xludf.DUMMYFUNCTION("REGEXEXTRACT(A109, ""PRD-([^/]+)"")"),"HappyGrow")</f>
        <v>HappyGrow</v>
      </c>
      <c r="F109" s="1" t="str">
        <f>IFERROR(__xludf.DUMMYFUNCTION("REGEXEXTRACT(A109, ""OPQ\s+(\d+)"")"),"20035")</f>
        <v>20035</v>
      </c>
      <c r="G109" s="1" t="str">
        <f>IFERROR(__xludf.DUMMYFUNCTION("REGEXEXTRACT(A109, ""NPQ\[.*?\](\d+)"")"),"22840")</f>
        <v>22840</v>
      </c>
    </row>
    <row r="110">
      <c r="A110" s="2" t="s">
        <v>223</v>
      </c>
      <c r="B110" s="1" t="str">
        <f>IFERROR(__xludf.DUMMYFUNCTION("REGEXEXTRACT(A110, ""Month\d+"")"),"Month4")</f>
        <v>Month4</v>
      </c>
      <c r="C110" s="1" t="str">
        <f>IFERROR(__xludf.DUMMYFUNCTION("REGEXEXTRACT(A110, ""#([A-Z])#"")
"),"W")</f>
        <v>W</v>
      </c>
      <c r="D110" s="1" t="str">
        <f>IFERROR(__xludf.DUMMYFUNCTION("REGEXEXTRACT(A110, ""City_([^/]+)"")"),"Mumbai")</f>
        <v>Mumbai</v>
      </c>
      <c r="E110" s="1" t="str">
        <f>IFERROR(__xludf.DUMMYFUNCTION("REGEXEXTRACT(A110, ""PRD-([^/]+)"")"),"PowerSip")</f>
        <v>PowerSip</v>
      </c>
      <c r="F110" s="1" t="str">
        <f>IFERROR(__xludf.DUMMYFUNCTION("REGEXEXTRACT(A110, ""OPQ\s+(\d+)"")"),"26003")</f>
        <v>26003</v>
      </c>
      <c r="G110" s="1" t="str">
        <f>IFERROR(__xludf.DUMMYFUNCTION("REGEXEXTRACT(A110, ""NPQ\[.*?\](\d+)"")"),"32504")</f>
        <v>32504</v>
      </c>
    </row>
    <row r="111">
      <c r="A111" s="2" t="s">
        <v>224</v>
      </c>
      <c r="B111" s="1" t="str">
        <f>IFERROR(__xludf.DUMMYFUNCTION("REGEXEXTRACT(A111, ""Month\d+"")"),"Month4")</f>
        <v>Month4</v>
      </c>
      <c r="C111" s="1" t="str">
        <f>IFERROR(__xludf.DUMMYFUNCTION("REGEXEXTRACT(A111, ""#([A-Z])#"")
"),"W")</f>
        <v>W</v>
      </c>
      <c r="D111" s="1" t="str">
        <f>IFERROR(__xludf.DUMMYFUNCTION("REGEXEXTRACT(A111, ""City_([^/]+)"")"),"Mumbai")</f>
        <v>Mumbai</v>
      </c>
      <c r="E111" s="1" t="str">
        <f>IFERROR(__xludf.DUMMYFUNCTION("REGEXEXTRACT(A111, ""PRD-([^/]+)"")"),"HappyGrow")</f>
        <v>HappyGrow</v>
      </c>
      <c r="F111" s="1" t="str">
        <f>IFERROR(__xludf.DUMMYFUNCTION("REGEXEXTRACT(A111, ""OPQ\s+(\d+)"")"),"13915")</f>
        <v>13915</v>
      </c>
      <c r="G111" s="1" t="str">
        <f>IFERROR(__xludf.DUMMYFUNCTION("REGEXEXTRACT(A111, ""NPQ\[.*?\](\d+)"")"),"15864")</f>
        <v>15864</v>
      </c>
    </row>
    <row r="112">
      <c r="A112" s="2" t="s">
        <v>225</v>
      </c>
      <c r="B112" s="1" t="str">
        <f>IFERROR(__xludf.DUMMYFUNCTION("REGEXEXTRACT(A112, ""Month\d+"")"),"Month4")</f>
        <v>Month4</v>
      </c>
      <c r="C112" s="1" t="str">
        <f>IFERROR(__xludf.DUMMYFUNCTION("REGEXEXTRACT(A112, ""#([A-Z])#"")
"),"S")</f>
        <v>S</v>
      </c>
      <c r="D112" s="1" t="str">
        <f>IFERROR(__xludf.DUMMYFUNCTION("REGEXEXTRACT(A112, ""City_([^/]+)"")"),"Mumbai")</f>
        <v>Mumbai</v>
      </c>
      <c r="E112" s="1" t="str">
        <f>IFERROR(__xludf.DUMMYFUNCTION("REGEXEXTRACT(A112, ""PRD-([^/]+)"")"),"PowerSip")</f>
        <v>PowerSip</v>
      </c>
      <c r="F112" s="1" t="str">
        <f>IFERROR(__xludf.DUMMYFUNCTION("REGEXEXTRACT(A112, ""OPQ\s+(\d+)"")"),"16055")</f>
        <v>16055</v>
      </c>
      <c r="G112" s="1" t="str">
        <f>IFERROR(__xludf.DUMMYFUNCTION("REGEXEXTRACT(A112, ""NPQ\[.*?\](\d+)"")"),"20069")</f>
        <v>20069</v>
      </c>
    </row>
    <row r="113">
      <c r="A113" s="2" t="s">
        <v>226</v>
      </c>
      <c r="B113" s="1" t="str">
        <f>IFERROR(__xludf.DUMMYFUNCTION("REGEXEXTRACT(A113, ""Month\d+"")"),"Month4")</f>
        <v>Month4</v>
      </c>
      <c r="C113" s="1" t="str">
        <f>IFERROR(__xludf.DUMMYFUNCTION("REGEXEXTRACT(A113, ""#([A-Z])#"")
"),"S")</f>
        <v>S</v>
      </c>
      <c r="D113" s="1" t="str">
        <f>IFERROR(__xludf.DUMMYFUNCTION("REGEXEXTRACT(A113, ""City_([^/]+)"")"),"Mumbai")</f>
        <v>Mumbai</v>
      </c>
      <c r="E113" s="1" t="str">
        <f>IFERROR(__xludf.DUMMYFUNCTION("REGEXEXTRACT(A113, ""PRD-([^/]+)"")"),"HappyGrow")</f>
        <v>HappyGrow</v>
      </c>
      <c r="F113" s="1" t="str">
        <f>IFERROR(__xludf.DUMMYFUNCTION("REGEXEXTRACT(A113, ""OPQ\s+(\d+)"")"),"16635")</f>
        <v>16635</v>
      </c>
      <c r="G113" s="1" t="str">
        <f>IFERROR(__xludf.DUMMYFUNCTION("REGEXEXTRACT(A113, ""NPQ\[.*?\](\d+)"")"),"18964")</f>
        <v>18964</v>
      </c>
    </row>
    <row r="114">
      <c r="A114" s="2" t="s">
        <v>227</v>
      </c>
      <c r="B114" s="1" t="str">
        <f>IFERROR(__xludf.DUMMYFUNCTION("REGEXEXTRACT(A114, ""Month\d+"")"),"Month4")</f>
        <v>Month4</v>
      </c>
      <c r="C114" s="1" t="str">
        <f>IFERROR(__xludf.DUMMYFUNCTION("REGEXEXTRACT(A114, ""#([A-Z])#"")
"),"N")</f>
        <v>N</v>
      </c>
      <c r="D114" s="1" t="str">
        <f>IFERROR(__xludf.DUMMYFUNCTION("REGEXEXTRACT(A114, ""City_([^/]+)"")"),"Bengaluru")</f>
        <v>Bengaluru</v>
      </c>
      <c r="E114" s="1" t="str">
        <f>IFERROR(__xludf.DUMMYFUNCTION("REGEXEXTRACT(A114, ""PRD-([^/]+)"")"),"PowerSip")</f>
        <v>PowerSip</v>
      </c>
      <c r="F114" s="1" t="str">
        <f>IFERROR(__xludf.DUMMYFUNCTION("REGEXEXTRACT(A114, ""OPQ\s+(\d+)"")"),"28317")</f>
        <v>28317</v>
      </c>
      <c r="G114" s="1" t="str">
        <f>IFERROR(__xludf.DUMMYFUNCTION("REGEXEXTRACT(A114, ""NPQ\[.*?\](\d+)"")"),"35397")</f>
        <v>35397</v>
      </c>
    </row>
    <row r="115">
      <c r="A115" s="2" t="s">
        <v>228</v>
      </c>
      <c r="B115" s="1" t="str">
        <f>IFERROR(__xludf.DUMMYFUNCTION("REGEXEXTRACT(A115, ""Month\d+"")"),"Month4")</f>
        <v>Month4</v>
      </c>
      <c r="C115" s="1" t="str">
        <f>IFERROR(__xludf.DUMMYFUNCTION("REGEXEXTRACT(A115, ""#([A-Z])#"")
"),"N")</f>
        <v>N</v>
      </c>
      <c r="D115" s="1" t="str">
        <f>IFERROR(__xludf.DUMMYFUNCTION("REGEXEXTRACT(A115, ""City_([^/]+)"")"),"Bengaluru")</f>
        <v>Bengaluru</v>
      </c>
      <c r="E115" s="1" t="str">
        <f>IFERROR(__xludf.DUMMYFUNCTION("REGEXEXTRACT(A115, ""PRD-([^/]+)"")"),"HappyGrow")</f>
        <v>HappyGrow</v>
      </c>
      <c r="F115" s="1" t="str">
        <f>IFERROR(__xludf.DUMMYFUNCTION("REGEXEXTRACT(A115, ""OPQ\s+(\d+)"")"),"22800")</f>
        <v>22800</v>
      </c>
      <c r="G115" s="1" t="str">
        <f>IFERROR(__xludf.DUMMYFUNCTION("REGEXEXTRACT(A115, ""NPQ\[.*?\](\d+)"")"),"26220")</f>
        <v>26220</v>
      </c>
    </row>
    <row r="116">
      <c r="A116" s="2" t="s">
        <v>229</v>
      </c>
      <c r="B116" s="1" t="str">
        <f>IFERROR(__xludf.DUMMYFUNCTION("REGEXEXTRACT(A116, ""Month\d+"")"),"Month4")</f>
        <v>Month4</v>
      </c>
      <c r="C116" s="1" t="str">
        <f>IFERROR(__xludf.DUMMYFUNCTION("REGEXEXTRACT(A116, ""#([A-Z])#"")
"),"E")</f>
        <v>E</v>
      </c>
      <c r="D116" s="1" t="str">
        <f>IFERROR(__xludf.DUMMYFUNCTION("REGEXEXTRACT(A116, ""City_([^/]+)"")"),"Bengaluru")</f>
        <v>Bengaluru</v>
      </c>
      <c r="E116" s="1" t="str">
        <f>IFERROR(__xludf.DUMMYFUNCTION("REGEXEXTRACT(A116, ""PRD-([^/]+)"")"),"PowerSip")</f>
        <v>PowerSip</v>
      </c>
      <c r="F116" s="1" t="str">
        <f>IFERROR(__xludf.DUMMYFUNCTION("REGEXEXTRACT(A116, ""OPQ\s+(\d+)"")"),"32011")</f>
        <v>32011</v>
      </c>
      <c r="G116" s="1" t="str">
        <f>IFERROR(__xludf.DUMMYFUNCTION("REGEXEXTRACT(A116, ""NPQ\[.*?\](\d+)"")"),"40334")</f>
        <v>40334</v>
      </c>
    </row>
    <row r="117">
      <c r="A117" s="2" t="s">
        <v>230</v>
      </c>
      <c r="B117" s="1" t="str">
        <f>IFERROR(__xludf.DUMMYFUNCTION("REGEXEXTRACT(A117, ""Month\d+"")"),"Month4")</f>
        <v>Month4</v>
      </c>
      <c r="C117" s="1" t="str">
        <f>IFERROR(__xludf.DUMMYFUNCTION("REGEXEXTRACT(A117, ""#([A-Z])#"")
"),"E")</f>
        <v>E</v>
      </c>
      <c r="D117" s="1" t="str">
        <f>IFERROR(__xludf.DUMMYFUNCTION("REGEXEXTRACT(A117, ""City_([^/]+)"")"),"Bengaluru")</f>
        <v>Bengaluru</v>
      </c>
      <c r="E117" s="1" t="str">
        <f>IFERROR(__xludf.DUMMYFUNCTION("REGEXEXTRACT(A117, ""PRD-([^/]+)"")"),"HappyGrow")</f>
        <v>HappyGrow</v>
      </c>
      <c r="F117" s="1" t="str">
        <f>IFERROR(__xludf.DUMMYFUNCTION("REGEXEXTRACT(A117, ""OPQ\s+(\d+)"")"),"18538")</f>
        <v>18538</v>
      </c>
      <c r="G117" s="1" t="str">
        <f>IFERROR(__xludf.DUMMYFUNCTION("REGEXEXTRACT(A117, ""NPQ\[.*?\](\d+)"")"),"21319")</f>
        <v>21319</v>
      </c>
    </row>
    <row r="118">
      <c r="A118" s="2" t="s">
        <v>231</v>
      </c>
      <c r="B118" s="1" t="str">
        <f>IFERROR(__xludf.DUMMYFUNCTION("REGEXEXTRACT(A118, ""Month\d+"")"),"Month4")</f>
        <v>Month4</v>
      </c>
      <c r="C118" s="1" t="str">
        <f>IFERROR(__xludf.DUMMYFUNCTION("REGEXEXTRACT(A118, ""#([A-Z])#"")
"),"W")</f>
        <v>W</v>
      </c>
      <c r="D118" s="1" t="str">
        <f>IFERROR(__xludf.DUMMYFUNCTION("REGEXEXTRACT(A118, ""City_([^/]+)"")"),"Bengaluru")</f>
        <v>Bengaluru</v>
      </c>
      <c r="E118" s="1" t="str">
        <f>IFERROR(__xludf.DUMMYFUNCTION("REGEXEXTRACT(A118, ""PRD-([^/]+)"")"),"PowerSip")</f>
        <v>PowerSip</v>
      </c>
      <c r="F118" s="1" t="str">
        <f>IFERROR(__xludf.DUMMYFUNCTION("REGEXEXTRACT(A118, ""OPQ\s+(\d+)"")"),"23737")</f>
        <v>23737</v>
      </c>
      <c r="G118" s="1" t="str">
        <f>IFERROR(__xludf.DUMMYFUNCTION("REGEXEXTRACT(A118, ""NPQ\[.*?\](\d+)"")"),"29909")</f>
        <v>29909</v>
      </c>
    </row>
    <row r="119">
      <c r="A119" s="2" t="s">
        <v>232</v>
      </c>
      <c r="B119" s="1" t="str">
        <f>IFERROR(__xludf.DUMMYFUNCTION("REGEXEXTRACT(A119, ""Month\d+"")"),"Month4")</f>
        <v>Month4</v>
      </c>
      <c r="C119" s="1" t="str">
        <f>IFERROR(__xludf.DUMMYFUNCTION("REGEXEXTRACT(A119, ""#([A-Z])#"")
"),"W")</f>
        <v>W</v>
      </c>
      <c r="D119" s="1" t="str">
        <f>IFERROR(__xludf.DUMMYFUNCTION("REGEXEXTRACT(A119, ""City_([^/]+)"")"),"Bengaluru")</f>
        <v>Bengaluru</v>
      </c>
      <c r="E119" s="1" t="str">
        <f>IFERROR(__xludf.DUMMYFUNCTION("REGEXEXTRACT(A119, ""PRD-([^/]+)"")"),"HappyGrow")</f>
        <v>HappyGrow</v>
      </c>
      <c r="F119" s="1" t="str">
        <f>IFERROR(__xludf.DUMMYFUNCTION("REGEXEXTRACT(A119, ""OPQ\s+(\d+)"")"),"17270")</f>
        <v>17270</v>
      </c>
      <c r="G119" s="1" t="str">
        <f>IFERROR(__xludf.DUMMYFUNCTION("REGEXEXTRACT(A119, ""NPQ\[.*?\](\d+)"")"),"19861")</f>
        <v>19861</v>
      </c>
    </row>
    <row r="120">
      <c r="A120" s="2" t="s">
        <v>233</v>
      </c>
      <c r="B120" s="1" t="str">
        <f>IFERROR(__xludf.DUMMYFUNCTION("REGEXEXTRACT(A120, ""Month\d+"")"),"Month4")</f>
        <v>Month4</v>
      </c>
      <c r="C120" s="1" t="str">
        <f>IFERROR(__xludf.DUMMYFUNCTION("REGEXEXTRACT(A120, ""#([A-Z])#"")
"),"S")</f>
        <v>S</v>
      </c>
      <c r="D120" s="1" t="str">
        <f>IFERROR(__xludf.DUMMYFUNCTION("REGEXEXTRACT(A120, ""City_([^/]+)"")"),"Bengaluru")</f>
        <v>Bengaluru</v>
      </c>
      <c r="E120" s="1" t="str">
        <f>IFERROR(__xludf.DUMMYFUNCTION("REGEXEXTRACT(A120, ""PRD-([^/]+)"")"),"PowerSip")</f>
        <v>PowerSip</v>
      </c>
      <c r="F120" s="1" t="str">
        <f>IFERROR(__xludf.DUMMYFUNCTION("REGEXEXTRACT(A120, ""OPQ\s+(\d+)"")"),"32799")</f>
        <v>32799</v>
      </c>
      <c r="G120" s="1" t="str">
        <f>IFERROR(__xludf.DUMMYFUNCTION("REGEXEXTRACT(A120, ""NPQ\[.*?\](\d+)"")"),"41327")</f>
        <v>41327</v>
      </c>
    </row>
    <row r="121">
      <c r="A121" s="2" t="s">
        <v>234</v>
      </c>
      <c r="B121" s="1" t="str">
        <f>IFERROR(__xludf.DUMMYFUNCTION("REGEXEXTRACT(A121, ""Month\d+"")"),"Month4")</f>
        <v>Month4</v>
      </c>
      <c r="C121" s="1" t="str">
        <f>IFERROR(__xludf.DUMMYFUNCTION("REGEXEXTRACT(A121, ""#([A-Z])#"")
"),"S")</f>
        <v>S</v>
      </c>
      <c r="D121" s="1" t="str">
        <f>IFERROR(__xludf.DUMMYFUNCTION("REGEXEXTRACT(A121, ""City_([^/]+)"")"),"Bengaluru")</f>
        <v>Bengaluru</v>
      </c>
      <c r="E121" s="1" t="str">
        <f>IFERROR(__xludf.DUMMYFUNCTION("REGEXEXTRACT(A121, ""PRD-([^/]+)"")"),"HappyGrow")</f>
        <v>HappyGrow</v>
      </c>
      <c r="F121" s="1" t="str">
        <f>IFERROR(__xludf.DUMMYFUNCTION("REGEXEXTRACT(A121, ""OPQ\s+(\d+)"")"),"30459")</f>
        <v>30459</v>
      </c>
      <c r="G121" s="1" t="str">
        <f>IFERROR(__xludf.DUMMYFUNCTION("REGEXEXTRACT(A121, ""NPQ\[.*?\](\d+)"")"),"35028")</f>
        <v>35028</v>
      </c>
    </row>
    <row r="122">
      <c r="A122" s="2" t="s">
        <v>235</v>
      </c>
      <c r="B122" s="1" t="str">
        <f>IFERROR(__xludf.DUMMYFUNCTION("REGEXEXTRACT(A122, ""Month\d+"")"),"Month4")</f>
        <v>Month4</v>
      </c>
      <c r="C122" s="1" t="str">
        <f>IFERROR(__xludf.DUMMYFUNCTION("REGEXEXTRACT(A122, ""#([A-Z])#"")
"),"N")</f>
        <v>N</v>
      </c>
      <c r="D122" s="1" t="str">
        <f>IFERROR(__xludf.DUMMYFUNCTION("REGEXEXTRACT(A122, ""City_([^/]+)"")"),"Delhi")</f>
        <v>Delhi</v>
      </c>
      <c r="E122" s="1" t="str">
        <f>IFERROR(__xludf.DUMMYFUNCTION("REGEXEXTRACT(A122, ""PRD-([^/]+)"")"),"PowerSip")</f>
        <v>PowerSip</v>
      </c>
      <c r="F122" s="1" t="str">
        <f>IFERROR(__xludf.DUMMYFUNCTION("REGEXEXTRACT(A122, ""OPQ\s+(\d+)"")"),"26397")</f>
        <v>26397</v>
      </c>
      <c r="G122" s="1" t="str">
        <f>IFERROR(__xludf.DUMMYFUNCTION("REGEXEXTRACT(A122, ""NPQ\[.*?\](\d+)"")"),"33525")</f>
        <v>33525</v>
      </c>
    </row>
    <row r="123">
      <c r="A123" s="2" t="s">
        <v>236</v>
      </c>
      <c r="B123" s="1" t="str">
        <f>IFERROR(__xludf.DUMMYFUNCTION("REGEXEXTRACT(A123, ""Month\d+"")"),"Month4")</f>
        <v>Month4</v>
      </c>
      <c r="C123" s="1" t="str">
        <f>IFERROR(__xludf.DUMMYFUNCTION("REGEXEXTRACT(A123, ""#([A-Z])#"")
"),"N")</f>
        <v>N</v>
      </c>
      <c r="D123" s="1" t="str">
        <f>IFERROR(__xludf.DUMMYFUNCTION("REGEXEXTRACT(A123, ""City_([^/]+)"")"),"Delhi")</f>
        <v>Delhi</v>
      </c>
      <c r="E123" s="1" t="str">
        <f>IFERROR(__xludf.DUMMYFUNCTION("REGEXEXTRACT(A123, ""PRD-([^/]+)"")"),"HappyGrow")</f>
        <v>HappyGrow</v>
      </c>
      <c r="F123" s="1" t="str">
        <f>IFERROR(__xludf.DUMMYFUNCTION("REGEXEXTRACT(A123, ""OPQ\s+(\d+)"")"),"15093")</f>
        <v>15093</v>
      </c>
      <c r="G123" s="1" t="str">
        <f>IFERROR(__xludf.DUMMYFUNCTION("REGEXEXTRACT(A123, ""NPQ\[.*?\](\d+)"")"),"17508")</f>
        <v>17508</v>
      </c>
    </row>
    <row r="124">
      <c r="A124" s="2" t="s">
        <v>237</v>
      </c>
      <c r="B124" s="1" t="str">
        <f>IFERROR(__xludf.DUMMYFUNCTION("REGEXEXTRACT(A124, ""Month\d+"")"),"Month4")</f>
        <v>Month4</v>
      </c>
      <c r="C124" s="1" t="str">
        <f>IFERROR(__xludf.DUMMYFUNCTION("REGEXEXTRACT(A124, ""#([A-Z])#"")
"),"E")</f>
        <v>E</v>
      </c>
      <c r="D124" s="1" t="str">
        <f>IFERROR(__xludf.DUMMYFUNCTION("REGEXEXTRACT(A124, ""City_([^/]+)"")"),"Delhi")</f>
        <v>Delhi</v>
      </c>
      <c r="E124" s="1" t="str">
        <f>IFERROR(__xludf.DUMMYFUNCTION("REGEXEXTRACT(A124, ""PRD-([^/]+)"")"),"PowerSip")</f>
        <v>PowerSip</v>
      </c>
      <c r="F124" s="1" t="str">
        <f>IFERROR(__xludf.DUMMYFUNCTION("REGEXEXTRACT(A124, ""OPQ\s+(\d+)"")"),"28711")</f>
        <v>28711</v>
      </c>
      <c r="G124" s="1" t="str">
        <f>IFERROR(__xludf.DUMMYFUNCTION("REGEXEXTRACT(A124, ""NPQ\[.*?\](\d+)"")"),"36463")</f>
        <v>36463</v>
      </c>
    </row>
    <row r="125">
      <c r="A125" s="2" t="s">
        <v>238</v>
      </c>
      <c r="B125" s="1" t="str">
        <f>IFERROR(__xludf.DUMMYFUNCTION("REGEXEXTRACT(A125, ""Month\d+"")"),"Month4")</f>
        <v>Month4</v>
      </c>
      <c r="C125" s="1" t="str">
        <f>IFERROR(__xludf.DUMMYFUNCTION("REGEXEXTRACT(A125, ""#([A-Z])#"")
"),"E")</f>
        <v>E</v>
      </c>
      <c r="D125" s="1" t="str">
        <f>IFERROR(__xludf.DUMMYFUNCTION("REGEXEXTRACT(A125, ""City_([^/]+)"")"),"Delhi")</f>
        <v>Delhi</v>
      </c>
      <c r="E125" s="1" t="str">
        <f>IFERROR(__xludf.DUMMYFUNCTION("REGEXEXTRACT(A125, ""PRD-([^/]+)"")"),"HappyGrow")</f>
        <v>HappyGrow</v>
      </c>
      <c r="F125" s="1" t="str">
        <f>IFERROR(__xludf.DUMMYFUNCTION("REGEXEXTRACT(A125, ""OPQ\s+(\d+)"")"),"16318")</f>
        <v>16318</v>
      </c>
      <c r="G125" s="1" t="str">
        <f>IFERROR(__xludf.DUMMYFUNCTION("REGEXEXTRACT(A125, ""NPQ\[.*?\](\d+)"")"),"18929")</f>
        <v>18929</v>
      </c>
    </row>
    <row r="126">
      <c r="A126" s="2" t="s">
        <v>239</v>
      </c>
      <c r="B126" s="1" t="str">
        <f>IFERROR(__xludf.DUMMYFUNCTION("REGEXEXTRACT(A126, ""Month\d+"")"),"Month4")</f>
        <v>Month4</v>
      </c>
      <c r="C126" s="1" t="str">
        <f>IFERROR(__xludf.DUMMYFUNCTION("REGEXEXTRACT(A126, ""#([A-Z])#"")
"),"W")</f>
        <v>W</v>
      </c>
      <c r="D126" s="1" t="str">
        <f>IFERROR(__xludf.DUMMYFUNCTION("REGEXEXTRACT(A126, ""City_([^/]+)"")"),"Delhi")</f>
        <v>Delhi</v>
      </c>
      <c r="E126" s="1" t="str">
        <f>IFERROR(__xludf.DUMMYFUNCTION("REGEXEXTRACT(A126, ""PRD-([^/]+)"")"),"PowerSip")</f>
        <v>PowerSip</v>
      </c>
      <c r="F126" s="1" t="str">
        <f>IFERROR(__xludf.DUMMYFUNCTION("REGEXEXTRACT(A126, ""OPQ\s+(\d+)"")"),"26741")</f>
        <v>26741</v>
      </c>
      <c r="G126" s="1" t="str">
        <f>IFERROR(__xludf.DUMMYFUNCTION("REGEXEXTRACT(A126, ""NPQ\[.*?\](\d+)"")"),"33962")</f>
        <v>33962</v>
      </c>
    </row>
    <row r="127">
      <c r="A127" s="2" t="s">
        <v>240</v>
      </c>
      <c r="B127" s="1" t="str">
        <f>IFERROR(__xludf.DUMMYFUNCTION("REGEXEXTRACT(A127, ""Month\d+"")"),"Month4")</f>
        <v>Month4</v>
      </c>
      <c r="C127" s="1" t="str">
        <f>IFERROR(__xludf.DUMMYFUNCTION("REGEXEXTRACT(A127, ""#([A-Z])#"")
"),"W")</f>
        <v>W</v>
      </c>
      <c r="D127" s="1" t="str">
        <f>IFERROR(__xludf.DUMMYFUNCTION("REGEXEXTRACT(A127, ""City_([^/]+)"")"),"Delhi")</f>
        <v>Delhi</v>
      </c>
      <c r="E127" s="1" t="str">
        <f>IFERROR(__xludf.DUMMYFUNCTION("REGEXEXTRACT(A127, ""PRD-([^/]+)"")"),"HappyGrow")</f>
        <v>HappyGrow</v>
      </c>
      <c r="F127" s="1" t="str">
        <f>IFERROR(__xludf.DUMMYFUNCTION("REGEXEXTRACT(A127, ""OPQ\s+(\d+)"")"),"18675")</f>
        <v>18675</v>
      </c>
      <c r="G127" s="1" t="str">
        <f>IFERROR(__xludf.DUMMYFUNCTION("REGEXEXTRACT(A127, ""NPQ\[.*?\](\d+)"")"),"21850")</f>
        <v>21850</v>
      </c>
    </row>
    <row r="128">
      <c r="A128" s="2" t="s">
        <v>241</v>
      </c>
      <c r="B128" s="1" t="str">
        <f>IFERROR(__xludf.DUMMYFUNCTION("REGEXEXTRACT(A128, ""Month\d+"")"),"Month4")</f>
        <v>Month4</v>
      </c>
      <c r="C128" s="1" t="str">
        <f>IFERROR(__xludf.DUMMYFUNCTION("REGEXEXTRACT(A128, ""#([A-Z])#"")
"),"S")</f>
        <v>S</v>
      </c>
      <c r="D128" s="1" t="str">
        <f>IFERROR(__xludf.DUMMYFUNCTION("REGEXEXTRACT(A128, ""City_([^/]+)"")"),"Delhi")</f>
        <v>Delhi</v>
      </c>
      <c r="E128" s="1" t="str">
        <f>IFERROR(__xludf.DUMMYFUNCTION("REGEXEXTRACT(A128, ""PRD-([^/]+)"")"),"PowerSip")</f>
        <v>PowerSip</v>
      </c>
      <c r="F128" s="1" t="str">
        <f>IFERROR(__xludf.DUMMYFUNCTION("REGEXEXTRACT(A128, ""OPQ\s+(\d+)"")"),"23048")</f>
        <v>23048</v>
      </c>
      <c r="G128" s="1" t="str">
        <f>IFERROR(__xludf.DUMMYFUNCTION("REGEXEXTRACT(A128, ""NPQ\[.*?\](\d+)"")"),"29502")</f>
        <v>29502</v>
      </c>
    </row>
    <row r="129">
      <c r="A129" s="2" t="s">
        <v>242</v>
      </c>
      <c r="B129" s="1" t="str">
        <f>IFERROR(__xludf.DUMMYFUNCTION("REGEXEXTRACT(A129, ""Month\d+"")"),"Month4")</f>
        <v>Month4</v>
      </c>
      <c r="C129" s="1" t="str">
        <f>IFERROR(__xludf.DUMMYFUNCTION("REGEXEXTRACT(A129, ""#([A-Z])#"")
"),"S")</f>
        <v>S</v>
      </c>
      <c r="D129" s="1" t="str">
        <f>IFERROR(__xludf.DUMMYFUNCTION("REGEXEXTRACT(A129, ""City_([^/]+)"")"),"Delhi")</f>
        <v>Delhi</v>
      </c>
      <c r="E129" s="1" t="str">
        <f>IFERROR(__xludf.DUMMYFUNCTION("REGEXEXTRACT(A129, ""PRD-([^/]+)"")"),"HappyGrow")</f>
        <v>HappyGrow</v>
      </c>
      <c r="F129" s="1" t="str">
        <f>IFERROR(__xludf.DUMMYFUNCTION("REGEXEXTRACT(A129, ""OPQ\s+(\d+)"")"),"28013")</f>
        <v>28013</v>
      </c>
      <c r="G129" s="1" t="str">
        <f>IFERROR(__xludf.DUMMYFUNCTION("REGEXEXTRACT(A129, ""NPQ\[.*?\](\d+)"")"),"32776")</f>
        <v>32776</v>
      </c>
    </row>
    <row r="130">
      <c r="A130" s="2" t="s">
        <v>243</v>
      </c>
      <c r="B130" s="1" t="str">
        <f>IFERROR(__xludf.DUMMYFUNCTION("REGEXEXTRACT(A130, ""Month\d+"")"),"Month5")</f>
        <v>Month5</v>
      </c>
      <c r="C130" s="1" t="str">
        <f>IFERROR(__xludf.DUMMYFUNCTION("REGEXEXTRACT(A130, ""#([A-Z])#"")
"),"N")</f>
        <v>N</v>
      </c>
      <c r="D130" s="1" t="str">
        <f>IFERROR(__xludf.DUMMYFUNCTION("REGEXEXTRACT(A130, ""City_([^/]+)"")"),"Chennai")</f>
        <v>Chennai</v>
      </c>
      <c r="E130" s="1" t="str">
        <f>IFERROR(__xludf.DUMMYFUNCTION("REGEXEXTRACT(A130, ""PRD-([^/]+)"")"),"PowerSip")</f>
        <v>PowerSip</v>
      </c>
      <c r="F130" s="1" t="str">
        <f>IFERROR(__xludf.DUMMYFUNCTION("REGEXEXTRACT(A130, ""OPQ\s+(\d+)"")"),"31474")</f>
        <v>31474</v>
      </c>
      <c r="G130" s="1" t="str">
        <f>IFERROR(__xludf.DUMMYFUNCTION("REGEXEXTRACT(A130, ""NPQ\[.*?\](\d+)"")"),"40602")</f>
        <v>40602</v>
      </c>
    </row>
    <row r="131">
      <c r="A131" s="2" t="s">
        <v>244</v>
      </c>
      <c r="B131" s="1" t="str">
        <f>IFERROR(__xludf.DUMMYFUNCTION("REGEXEXTRACT(A131, ""Month\d+"")"),"Month5")</f>
        <v>Month5</v>
      </c>
      <c r="C131" s="1" t="str">
        <f>IFERROR(__xludf.DUMMYFUNCTION("REGEXEXTRACT(A131, ""#([A-Z])#"")
"),"N")</f>
        <v>N</v>
      </c>
      <c r="D131" s="1" t="str">
        <f>IFERROR(__xludf.DUMMYFUNCTION("REGEXEXTRACT(A131, ""City_([^/]+)"")"),"Chennai")</f>
        <v>Chennai</v>
      </c>
      <c r="E131" s="1" t="str">
        <f>IFERROR(__xludf.DUMMYFUNCTION("REGEXEXTRACT(A131, ""PRD-([^/]+)"")"),"HappyGrow")</f>
        <v>HappyGrow</v>
      </c>
      <c r="F131" s="1" t="str">
        <f>IFERROR(__xludf.DUMMYFUNCTION("REGEXEXTRACT(A131, ""OPQ\s+(\d+)"")"),"21825")</f>
        <v>21825</v>
      </c>
      <c r="G131" s="1" t="str">
        <f>IFERROR(__xludf.DUMMYFUNCTION("REGEXEXTRACT(A131, ""NPQ\[.*?\](\d+)"")"),"25536")</f>
        <v>25536</v>
      </c>
    </row>
    <row r="132">
      <c r="A132" s="2" t="s">
        <v>245</v>
      </c>
      <c r="B132" s="1" t="str">
        <f>IFERROR(__xludf.DUMMYFUNCTION("REGEXEXTRACT(A132, ""Month\d+"")"),"Month5")</f>
        <v>Month5</v>
      </c>
      <c r="C132" s="1" t="str">
        <f>IFERROR(__xludf.DUMMYFUNCTION("REGEXEXTRACT(A132, ""#([A-Z])#"")
"),"E")</f>
        <v>E</v>
      </c>
      <c r="D132" s="1" t="str">
        <f>IFERROR(__xludf.DUMMYFUNCTION("REGEXEXTRACT(A132, ""City_([^/]+)"")"),"Chennai")</f>
        <v>Chennai</v>
      </c>
      <c r="E132" s="1" t="str">
        <f>IFERROR(__xludf.DUMMYFUNCTION("REGEXEXTRACT(A132, ""PRD-([^/]+)"")"),"PowerSip")</f>
        <v>PowerSip</v>
      </c>
      <c r="F132" s="1" t="str">
        <f>IFERROR(__xludf.DUMMYFUNCTION("REGEXEXTRACT(A132, ""OPQ\s+(\d+)"")"),"16794")</f>
        <v>16794</v>
      </c>
      <c r="G132" s="1" t="str">
        <f>IFERROR(__xludf.DUMMYFUNCTION("REGEXEXTRACT(A132, ""NPQ\[.*?\](\d+)"")"),"21665")</f>
        <v>21665</v>
      </c>
    </row>
    <row r="133">
      <c r="A133" s="2" t="s">
        <v>246</v>
      </c>
      <c r="B133" s="1" t="str">
        <f>IFERROR(__xludf.DUMMYFUNCTION("REGEXEXTRACT(A133, ""Month\d+"")"),"Month5")</f>
        <v>Month5</v>
      </c>
      <c r="C133" s="1" t="str">
        <f>IFERROR(__xludf.DUMMYFUNCTION("REGEXEXTRACT(A133, ""#([A-Z])#"")
"),"E")</f>
        <v>E</v>
      </c>
      <c r="D133" s="1" t="str">
        <f>IFERROR(__xludf.DUMMYFUNCTION("REGEXEXTRACT(A133, ""City_([^/]+)"")"),"Chennai")</f>
        <v>Chennai</v>
      </c>
      <c r="E133" s="1" t="str">
        <f>IFERROR(__xludf.DUMMYFUNCTION("REGEXEXTRACT(A133, ""PRD-([^/]+)"")"),"HappyGrow")</f>
        <v>HappyGrow</v>
      </c>
      <c r="F133" s="1" t="str">
        <f>IFERROR(__xludf.DUMMYFUNCTION("REGEXEXTRACT(A133, ""OPQ\s+(\d+)"")"),"29293")</f>
        <v>29293</v>
      </c>
      <c r="G133" s="1" t="str">
        <f>IFERROR(__xludf.DUMMYFUNCTION("REGEXEXTRACT(A133, ""NPQ\[.*?\](\d+)"")"),"34273")</f>
        <v>34273</v>
      </c>
    </row>
    <row r="134">
      <c r="A134" s="2" t="s">
        <v>247</v>
      </c>
      <c r="B134" s="1" t="str">
        <f>IFERROR(__xludf.DUMMYFUNCTION("REGEXEXTRACT(A134, ""Month\d+"")"),"Month5")</f>
        <v>Month5</v>
      </c>
      <c r="C134" s="1" t="str">
        <f>IFERROR(__xludf.DUMMYFUNCTION("REGEXEXTRACT(A134, ""#([A-Z])#"")
"),"W")</f>
        <v>W</v>
      </c>
      <c r="D134" s="1" t="str">
        <f>IFERROR(__xludf.DUMMYFUNCTION("REGEXEXTRACT(A134, ""City_([^/]+)"")"),"Chennai")</f>
        <v>Chennai</v>
      </c>
      <c r="E134" s="1" t="str">
        <f>IFERROR(__xludf.DUMMYFUNCTION("REGEXEXTRACT(A134, ""PRD-([^/]+)"")"),"PowerSip")</f>
        <v>PowerSip</v>
      </c>
      <c r="F134" s="1" t="str">
        <f>IFERROR(__xludf.DUMMYFUNCTION("REGEXEXTRACT(A134, ""OPQ\s+(\d+)"")"),"20098")</f>
        <v>20098</v>
      </c>
      <c r="G134" s="1" t="str">
        <f>IFERROR(__xludf.DUMMYFUNCTION("REGEXEXTRACT(A134, ""NPQ\[.*?\](\d+)"")"),"25927")</f>
        <v>25927</v>
      </c>
    </row>
    <row r="135">
      <c r="A135" s="2" t="s">
        <v>248</v>
      </c>
      <c r="B135" s="1" t="str">
        <f>IFERROR(__xludf.DUMMYFUNCTION("REGEXEXTRACT(A135, ""Month\d+"")"),"Month5")</f>
        <v>Month5</v>
      </c>
      <c r="C135" s="1" t="str">
        <f>IFERROR(__xludf.DUMMYFUNCTION("REGEXEXTRACT(A135, ""#([A-Z])#"")
"),"W")</f>
        <v>W</v>
      </c>
      <c r="D135" s="1" t="str">
        <f>IFERROR(__xludf.DUMMYFUNCTION("REGEXEXTRACT(A135, ""City_([^/]+)"")"),"Chennai")</f>
        <v>Chennai</v>
      </c>
      <c r="E135" s="1" t="str">
        <f>IFERROR(__xludf.DUMMYFUNCTION("REGEXEXTRACT(A135, ""PRD-([^/]+)"")"),"HappyGrow")</f>
        <v>HappyGrow</v>
      </c>
      <c r="F135" s="1" t="str">
        <f>IFERROR(__xludf.DUMMYFUNCTION("REGEXEXTRACT(A135, ""OPQ\s+(\d+)"")"),"20709")</f>
        <v>20709</v>
      </c>
      <c r="G135" s="1" t="str">
        <f>IFERROR(__xludf.DUMMYFUNCTION("REGEXEXTRACT(A135, ""NPQ\[.*?\](\d+)"")"),"24230")</f>
        <v>24230</v>
      </c>
    </row>
    <row r="136">
      <c r="A136" s="2" t="s">
        <v>249</v>
      </c>
      <c r="B136" s="1" t="str">
        <f>IFERROR(__xludf.DUMMYFUNCTION("REGEXEXTRACT(A136, ""Month\d+"")"),"Month5")</f>
        <v>Month5</v>
      </c>
      <c r="C136" s="1" t="str">
        <f>IFERROR(__xludf.DUMMYFUNCTION("REGEXEXTRACT(A136, ""#([A-Z])#"")
"),"S")</f>
        <v>S</v>
      </c>
      <c r="D136" s="1" t="str">
        <f>IFERROR(__xludf.DUMMYFUNCTION("REGEXEXTRACT(A136, ""City_([^/]+)"")"),"Chennai")</f>
        <v>Chennai</v>
      </c>
      <c r="E136" s="1" t="str">
        <f>IFERROR(__xludf.DUMMYFUNCTION("REGEXEXTRACT(A136, ""PRD-([^/]+)"")"),"PowerSip")</f>
        <v>PowerSip</v>
      </c>
      <c r="F136" s="1" t="str">
        <f>IFERROR(__xludf.DUMMYFUNCTION("REGEXEXTRACT(A136, ""OPQ\s+(\d+)"")"),"36350")</f>
        <v>36350</v>
      </c>
      <c r="G136" s="1" t="str">
        <f>IFERROR(__xludf.DUMMYFUNCTION("REGEXEXTRACT(A136, ""NPQ\[.*?\](\d+)"")"),"47255")</f>
        <v>47255</v>
      </c>
    </row>
    <row r="137">
      <c r="A137" s="2" t="s">
        <v>250</v>
      </c>
      <c r="B137" s="1" t="str">
        <f>IFERROR(__xludf.DUMMYFUNCTION("REGEXEXTRACT(A137, ""Month\d+"")"),"Month5")</f>
        <v>Month5</v>
      </c>
      <c r="C137" s="1" t="str">
        <f>IFERROR(__xludf.DUMMYFUNCTION("REGEXEXTRACT(A137, ""#([A-Z])#"")
"),"S")</f>
        <v>S</v>
      </c>
      <c r="D137" s="1" t="str">
        <f>IFERROR(__xludf.DUMMYFUNCTION("REGEXEXTRACT(A137, ""City_([^/]+)"")"),"Chennai")</f>
        <v>Chennai</v>
      </c>
      <c r="E137" s="1" t="str">
        <f>IFERROR(__xludf.DUMMYFUNCTION("REGEXEXTRACT(A137, ""PRD-([^/]+)"")"),"HappyGrow")</f>
        <v>HappyGrow</v>
      </c>
      <c r="F137" s="1" t="str">
        <f>IFERROR(__xludf.DUMMYFUNCTION("REGEXEXTRACT(A137, ""OPQ\s+(\d+)"")"),"17654")</f>
        <v>17654</v>
      </c>
      <c r="G137" s="1" t="str">
        <f>IFERROR(__xludf.DUMMYFUNCTION("REGEXEXTRACT(A137, ""NPQ\[.*?\](\d+)"")"),"20656")</f>
        <v>20656</v>
      </c>
    </row>
    <row r="138">
      <c r="A138" s="2" t="s">
        <v>251</v>
      </c>
      <c r="B138" s="1" t="str">
        <f>IFERROR(__xludf.DUMMYFUNCTION("REGEXEXTRACT(A138, ""Month\d+"")"),"Month5")</f>
        <v>Month5</v>
      </c>
      <c r="C138" s="1" t="str">
        <f>IFERROR(__xludf.DUMMYFUNCTION("REGEXEXTRACT(A138, ""#([A-Z])#"")
"),"N")</f>
        <v>N</v>
      </c>
      <c r="D138" s="1" t="str">
        <f>IFERROR(__xludf.DUMMYFUNCTION("REGEXEXTRACT(A138, ""City_([^/]+)"")"),"Mumbai")</f>
        <v>Mumbai</v>
      </c>
      <c r="E138" s="1" t="str">
        <f>IFERROR(__xludf.DUMMYFUNCTION("REGEXEXTRACT(A138, ""PRD-([^/]+)"")"),"PowerSip")</f>
        <v>PowerSip</v>
      </c>
      <c r="F138" s="1" t="str">
        <f>IFERROR(__xludf.DUMMYFUNCTION("REGEXEXTRACT(A138, ""OPQ\s+(\d+)"")"),"32558")</f>
        <v>32558</v>
      </c>
      <c r="G138" s="1" t="str">
        <f>IFERROR(__xludf.DUMMYFUNCTION("REGEXEXTRACT(A138, ""NPQ\[.*?\](\d+)"")"),"42326")</f>
        <v>42326</v>
      </c>
    </row>
    <row r="139">
      <c r="A139" s="2" t="s">
        <v>252</v>
      </c>
      <c r="B139" s="1" t="str">
        <f>IFERROR(__xludf.DUMMYFUNCTION("REGEXEXTRACT(A139, ""Month\d+"")"),"Month5")</f>
        <v>Month5</v>
      </c>
      <c r="C139" s="1" t="str">
        <f>IFERROR(__xludf.DUMMYFUNCTION("REGEXEXTRACT(A139, ""#([A-Z])#"")
"),"N")</f>
        <v>N</v>
      </c>
      <c r="D139" s="1" t="str">
        <f>IFERROR(__xludf.DUMMYFUNCTION("REGEXEXTRACT(A139, ""City_([^/]+)"")"),"Mumbai")</f>
        <v>Mumbai</v>
      </c>
      <c r="E139" s="1" t="str">
        <f>IFERROR(__xludf.DUMMYFUNCTION("REGEXEXTRACT(A139, ""PRD-([^/]+)"")"),"HappyGrow")</f>
        <v>HappyGrow</v>
      </c>
      <c r="F139" s="1" t="str">
        <f>IFERROR(__xludf.DUMMYFUNCTION("REGEXEXTRACT(A139, ""OPQ\s+(\d+)"")"),"30699")</f>
        <v>30699</v>
      </c>
      <c r="G139" s="1" t="str">
        <f>IFERROR(__xludf.DUMMYFUNCTION("REGEXEXTRACT(A139, ""NPQ\[.*?\](\d+)"")"),"36225")</f>
        <v>36225</v>
      </c>
    </row>
    <row r="140">
      <c r="A140" s="2" t="s">
        <v>253</v>
      </c>
      <c r="B140" s="1" t="str">
        <f>IFERROR(__xludf.DUMMYFUNCTION("REGEXEXTRACT(A140, ""Month\d+"")"),"Month5")</f>
        <v>Month5</v>
      </c>
      <c r="C140" s="1" t="str">
        <f>IFERROR(__xludf.DUMMYFUNCTION("REGEXEXTRACT(A140, ""#([A-Z])#"")
"),"E")</f>
        <v>E</v>
      </c>
      <c r="D140" s="1" t="str">
        <f>IFERROR(__xludf.DUMMYFUNCTION("REGEXEXTRACT(A140, ""City_([^/]+)"")"),"Mumbai")</f>
        <v>Mumbai</v>
      </c>
      <c r="E140" s="1" t="str">
        <f>IFERROR(__xludf.DUMMYFUNCTION("REGEXEXTRACT(A140, ""PRD-([^/]+)"")"),"PowerSip")</f>
        <v>PowerSip</v>
      </c>
      <c r="F140" s="1" t="str">
        <f>IFERROR(__xludf.DUMMYFUNCTION("REGEXEXTRACT(A140, ""OPQ\s+(\d+)"")"),"18257")</f>
        <v>18257</v>
      </c>
      <c r="G140" s="1" t="str">
        <f>IFERROR(__xludf.DUMMYFUNCTION("REGEXEXTRACT(A140, ""NPQ\[.*?\](\d+)"")"),"23917")</f>
        <v>23917</v>
      </c>
    </row>
    <row r="141">
      <c r="A141" s="2" t="s">
        <v>254</v>
      </c>
      <c r="B141" s="1" t="str">
        <f>IFERROR(__xludf.DUMMYFUNCTION("REGEXEXTRACT(A141, ""Month\d+"")"),"Month5")</f>
        <v>Month5</v>
      </c>
      <c r="C141" s="1" t="str">
        <f>IFERROR(__xludf.DUMMYFUNCTION("REGEXEXTRACT(A141, ""#([A-Z])#"")
"),"E")</f>
        <v>E</v>
      </c>
      <c r="D141" s="1" t="str">
        <f>IFERROR(__xludf.DUMMYFUNCTION("REGEXEXTRACT(A141, ""City_([^/]+)"")"),"Mumbai")</f>
        <v>Mumbai</v>
      </c>
      <c r="E141" s="1" t="str">
        <f>IFERROR(__xludf.DUMMYFUNCTION("REGEXEXTRACT(A141, ""PRD-([^/]+)"")"),"HappyGrow")</f>
        <v>HappyGrow</v>
      </c>
      <c r="F141" s="1" t="str">
        <f>IFERROR(__xludf.DUMMYFUNCTION("REGEXEXTRACT(A141, ""OPQ\s+(\d+)"")"),"21437")</f>
        <v>21437</v>
      </c>
      <c r="G141" s="1" t="str">
        <f>IFERROR(__xludf.DUMMYFUNCTION("REGEXEXTRACT(A141, ""NPQ\[.*?\](\d+)"")"),"25296")</f>
        <v>25296</v>
      </c>
    </row>
    <row r="142">
      <c r="A142" s="2" t="s">
        <v>255</v>
      </c>
      <c r="B142" s="1" t="str">
        <f>IFERROR(__xludf.DUMMYFUNCTION("REGEXEXTRACT(A142, ""Month\d+"")"),"Month5")</f>
        <v>Month5</v>
      </c>
      <c r="C142" s="1" t="str">
        <f>IFERROR(__xludf.DUMMYFUNCTION("REGEXEXTRACT(A142, ""#([A-Z])#"")
"),"W")</f>
        <v>W</v>
      </c>
      <c r="D142" s="1" t="str">
        <f>IFERROR(__xludf.DUMMYFUNCTION("REGEXEXTRACT(A142, ""City_([^/]+)"")"),"Mumbai")</f>
        <v>Mumbai</v>
      </c>
      <c r="E142" s="1" t="str">
        <f>IFERROR(__xludf.DUMMYFUNCTION("REGEXEXTRACT(A142, ""PRD-([^/]+)"")"),"PowerSip")</f>
        <v>PowerSip</v>
      </c>
      <c r="F142" s="1" t="str">
        <f>IFERROR(__xludf.DUMMYFUNCTION("REGEXEXTRACT(A142, ""OPQ\s+(\d+)"")"),"28603")</f>
        <v>28603</v>
      </c>
      <c r="G142" s="1" t="str">
        <f>IFERROR(__xludf.DUMMYFUNCTION("REGEXEXTRACT(A142, ""NPQ\[.*?\](\d+)"")"),"37756")</f>
        <v>37756</v>
      </c>
    </row>
    <row r="143">
      <c r="A143" s="2" t="s">
        <v>256</v>
      </c>
      <c r="B143" s="1" t="str">
        <f>IFERROR(__xludf.DUMMYFUNCTION("REGEXEXTRACT(A143, ""Month\d+"")"),"Month5")</f>
        <v>Month5</v>
      </c>
      <c r="C143" s="1" t="str">
        <f>IFERROR(__xludf.DUMMYFUNCTION("REGEXEXTRACT(A143, ""#([A-Z])#"")
"),"W")</f>
        <v>W</v>
      </c>
      <c r="D143" s="1" t="str">
        <f>IFERROR(__xludf.DUMMYFUNCTION("REGEXEXTRACT(A143, ""City_([^/]+)"")"),"Mumbai")</f>
        <v>Mumbai</v>
      </c>
      <c r="E143" s="1" t="str">
        <f>IFERROR(__xludf.DUMMYFUNCTION("REGEXEXTRACT(A143, ""PRD-([^/]+)"")"),"HappyGrow")</f>
        <v>HappyGrow</v>
      </c>
      <c r="F143" s="1" t="str">
        <f>IFERROR(__xludf.DUMMYFUNCTION("REGEXEXTRACT(A143, ""OPQ\s+(\d+)"")"),"14889")</f>
        <v>14889</v>
      </c>
      <c r="G143" s="1" t="str">
        <f>IFERROR(__xludf.DUMMYFUNCTION("REGEXEXTRACT(A143, ""NPQ\[.*?\](\d+)"")"),"17718")</f>
        <v>17718</v>
      </c>
    </row>
    <row r="144">
      <c r="A144" s="2" t="s">
        <v>257</v>
      </c>
      <c r="B144" s="1" t="str">
        <f>IFERROR(__xludf.DUMMYFUNCTION("REGEXEXTRACT(A144, ""Month\d+"")"),"Month5")</f>
        <v>Month5</v>
      </c>
      <c r="C144" s="1" t="str">
        <f>IFERROR(__xludf.DUMMYFUNCTION("REGEXEXTRACT(A144, ""#([A-Z])#"")
"),"S")</f>
        <v>S</v>
      </c>
      <c r="D144" s="1" t="str">
        <f>IFERROR(__xludf.DUMMYFUNCTION("REGEXEXTRACT(A144, ""City_([^/]+)"")"),"Mumbai")</f>
        <v>Mumbai</v>
      </c>
      <c r="E144" s="1" t="str">
        <f>IFERROR(__xludf.DUMMYFUNCTION("REGEXEXTRACT(A144, ""PRD-([^/]+)"")"),"PowerSip")</f>
        <v>PowerSip</v>
      </c>
      <c r="F144" s="1" t="str">
        <f>IFERROR(__xludf.DUMMYFUNCTION("REGEXEXTRACT(A144, ""OPQ\s+(\d+)"")"),"17661")</f>
        <v>17661</v>
      </c>
      <c r="G144" s="1" t="str">
        <f>IFERROR(__xludf.DUMMYFUNCTION("REGEXEXTRACT(A144, ""NPQ\[.*?\](\d+)"")"),"23313")</f>
        <v>23313</v>
      </c>
    </row>
    <row r="145">
      <c r="A145" s="2" t="s">
        <v>258</v>
      </c>
      <c r="B145" s="1" t="str">
        <f>IFERROR(__xludf.DUMMYFUNCTION("REGEXEXTRACT(A145, ""Month\d+"")"),"Month5")</f>
        <v>Month5</v>
      </c>
      <c r="C145" s="1" t="str">
        <f>IFERROR(__xludf.DUMMYFUNCTION("REGEXEXTRACT(A145, ""#([A-Z])#"")
"),"S")</f>
        <v>S</v>
      </c>
      <c r="D145" s="1" t="str">
        <f>IFERROR(__xludf.DUMMYFUNCTION("REGEXEXTRACT(A145, ""City_([^/]+)"")"),"Mumbai")</f>
        <v>Mumbai</v>
      </c>
      <c r="E145" s="1" t="str">
        <f>IFERROR(__xludf.DUMMYFUNCTION("REGEXEXTRACT(A145, ""PRD-([^/]+)"")"),"HappyGrow")</f>
        <v>HappyGrow</v>
      </c>
      <c r="F145" s="1" t="str">
        <f>IFERROR(__xludf.DUMMYFUNCTION("REGEXEXTRACT(A145, ""OPQ\s+(\d+)"")"),"17799")</f>
        <v>17799</v>
      </c>
      <c r="G145" s="1" t="str">
        <f>IFERROR(__xludf.DUMMYFUNCTION("REGEXEXTRACT(A145, ""NPQ\[.*?\](\d+)"")"),"21181")</f>
        <v>21181</v>
      </c>
    </row>
    <row r="146">
      <c r="A146" s="2" t="s">
        <v>259</v>
      </c>
      <c r="B146" s="1" t="str">
        <f>IFERROR(__xludf.DUMMYFUNCTION("REGEXEXTRACT(A146, ""Month\d+"")"),"Month5")</f>
        <v>Month5</v>
      </c>
      <c r="C146" s="1" t="str">
        <f>IFERROR(__xludf.DUMMYFUNCTION("REGEXEXTRACT(A146, ""#([A-Z])#"")
"),"N")</f>
        <v>N</v>
      </c>
      <c r="D146" s="1" t="str">
        <f>IFERROR(__xludf.DUMMYFUNCTION("REGEXEXTRACT(A146, ""City_([^/]+)"")"),"Bengaluru")</f>
        <v>Bengaluru</v>
      </c>
      <c r="E146" s="1" t="str">
        <f>IFERROR(__xludf.DUMMYFUNCTION("REGEXEXTRACT(A146, ""PRD-([^/]+)"")"),"PowerSip")</f>
        <v>PowerSip</v>
      </c>
      <c r="F146" s="1" t="str">
        <f>IFERROR(__xludf.DUMMYFUNCTION("REGEXEXTRACT(A146, ""OPQ\s+(\d+)"")"),"31149")</f>
        <v>31149</v>
      </c>
      <c r="G146" s="1" t="str">
        <f>IFERROR(__xludf.DUMMYFUNCTION("REGEXEXTRACT(A146, ""NPQ\[.*?\](\d+)"")"),"41117")</f>
        <v>41117</v>
      </c>
    </row>
    <row r="147">
      <c r="A147" s="2" t="s">
        <v>260</v>
      </c>
      <c r="B147" s="1" t="str">
        <f>IFERROR(__xludf.DUMMYFUNCTION("REGEXEXTRACT(A147, ""Month\d+"")"),"Month5")</f>
        <v>Month5</v>
      </c>
      <c r="C147" s="1" t="str">
        <f>IFERROR(__xludf.DUMMYFUNCTION("REGEXEXTRACT(A147, ""#([A-Z])#"")
"),"N")</f>
        <v>N</v>
      </c>
      <c r="D147" s="1" t="str">
        <f>IFERROR(__xludf.DUMMYFUNCTION("REGEXEXTRACT(A147, ""City_([^/]+)"")"),"Bengaluru")</f>
        <v>Bengaluru</v>
      </c>
      <c r="E147" s="1" t="str">
        <f>IFERROR(__xludf.DUMMYFUNCTION("REGEXEXTRACT(A147, ""PRD-([^/]+)"")"),"HappyGrow")</f>
        <v>HappyGrow</v>
      </c>
      <c r="F147" s="1" t="str">
        <f>IFERROR(__xludf.DUMMYFUNCTION("REGEXEXTRACT(A147, ""OPQ\s+(\d+)"")"),"24396")</f>
        <v>24396</v>
      </c>
      <c r="G147" s="1" t="str">
        <f>IFERROR(__xludf.DUMMYFUNCTION("REGEXEXTRACT(A147, ""NPQ\[.*?\](\d+)"")"),"29032")</f>
        <v>29032</v>
      </c>
    </row>
    <row r="148">
      <c r="A148" s="2" t="s">
        <v>261</v>
      </c>
      <c r="B148" s="1" t="str">
        <f>IFERROR(__xludf.DUMMYFUNCTION("REGEXEXTRACT(A148, ""Month\d+"")"),"Month5")</f>
        <v>Month5</v>
      </c>
      <c r="C148" s="1" t="str">
        <f>IFERROR(__xludf.DUMMYFUNCTION("REGEXEXTRACT(A148, ""#([A-Z])#"")
"),"E")</f>
        <v>E</v>
      </c>
      <c r="D148" s="1" t="str">
        <f>IFERROR(__xludf.DUMMYFUNCTION("REGEXEXTRACT(A148, ""City_([^/]+)"")"),"Bengaluru")</f>
        <v>Bengaluru</v>
      </c>
      <c r="E148" s="1" t="str">
        <f>IFERROR(__xludf.DUMMYFUNCTION("REGEXEXTRACT(A148, ""PRD-([^/]+)"")"),"PowerSip")</f>
        <v>PowerSip</v>
      </c>
      <c r="F148" s="1" t="str">
        <f>IFERROR(__xludf.DUMMYFUNCTION("REGEXEXTRACT(A148, ""OPQ\s+(\d+)"")"),"35212")</f>
        <v>35212</v>
      </c>
      <c r="G148" s="1" t="str">
        <f>IFERROR(__xludf.DUMMYFUNCTION("REGEXEXTRACT(A148, ""NPQ\[.*?\](\d+)"")"),"46832")</f>
        <v>46832</v>
      </c>
    </row>
    <row r="149">
      <c r="A149" s="2" t="s">
        <v>262</v>
      </c>
      <c r="B149" s="1" t="str">
        <f>IFERROR(__xludf.DUMMYFUNCTION("REGEXEXTRACT(A149, ""Month\d+"")"),"Month5")</f>
        <v>Month5</v>
      </c>
      <c r="C149" s="1" t="str">
        <f>IFERROR(__xludf.DUMMYFUNCTION("REGEXEXTRACT(A149, ""#([A-Z])#"")
"),"E")</f>
        <v>E</v>
      </c>
      <c r="D149" s="1" t="str">
        <f>IFERROR(__xludf.DUMMYFUNCTION("REGEXEXTRACT(A149, ""City_([^/]+)"")"),"Bengaluru")</f>
        <v>Bengaluru</v>
      </c>
      <c r="E149" s="1" t="str">
        <f>IFERROR(__xludf.DUMMYFUNCTION("REGEXEXTRACT(A149, ""PRD-([^/]+)"")"),"HappyGrow")</f>
        <v>HappyGrow</v>
      </c>
      <c r="F149" s="1" t="str">
        <f>IFERROR(__xludf.DUMMYFUNCTION("REGEXEXTRACT(A149, ""OPQ\s+(\d+)"")"),"19836")</f>
        <v>19836</v>
      </c>
      <c r="G149" s="1" t="str">
        <f>IFERROR(__xludf.DUMMYFUNCTION("REGEXEXTRACT(A149, ""NPQ\[.*?\](\d+)"")"),"23605")</f>
        <v>23605</v>
      </c>
    </row>
    <row r="150">
      <c r="A150" s="2" t="s">
        <v>263</v>
      </c>
      <c r="B150" s="1" t="str">
        <f>IFERROR(__xludf.DUMMYFUNCTION("REGEXEXTRACT(A150, ""Month\d+"")"),"Month5")</f>
        <v>Month5</v>
      </c>
      <c r="C150" s="1" t="str">
        <f>IFERROR(__xludf.DUMMYFUNCTION("REGEXEXTRACT(A150, ""#([A-Z])#"")
"),"W")</f>
        <v>W</v>
      </c>
      <c r="D150" s="1" t="str">
        <f>IFERROR(__xludf.DUMMYFUNCTION("REGEXEXTRACT(A150, ""City_([^/]+)"")"),"Bengaluru")</f>
        <v>Bengaluru</v>
      </c>
      <c r="E150" s="1" t="str">
        <f>IFERROR(__xludf.DUMMYFUNCTION("REGEXEXTRACT(A150, ""PRD-([^/]+)"")"),"PowerSip")</f>
        <v>PowerSip</v>
      </c>
      <c r="F150" s="1" t="str">
        <f>IFERROR(__xludf.DUMMYFUNCTION("REGEXEXTRACT(A150, ""OPQ\s+(\d+)"")"),"26111")</f>
        <v>26111</v>
      </c>
      <c r="G150" s="1" t="str">
        <f>IFERROR(__xludf.DUMMYFUNCTION("REGEXEXTRACT(A150, ""NPQ\[.*?\](\d+)"")"),"34728")</f>
        <v>34728</v>
      </c>
    </row>
    <row r="151">
      <c r="A151" s="2" t="s">
        <v>264</v>
      </c>
      <c r="B151" s="1" t="str">
        <f>IFERROR(__xludf.DUMMYFUNCTION("REGEXEXTRACT(A151, ""Month\d+"")"),"Month5")</f>
        <v>Month5</v>
      </c>
      <c r="C151" s="1" t="str">
        <f>IFERROR(__xludf.DUMMYFUNCTION("REGEXEXTRACT(A151, ""#([A-Z])#"")
"),"W")</f>
        <v>W</v>
      </c>
      <c r="D151" s="1" t="str">
        <f>IFERROR(__xludf.DUMMYFUNCTION("REGEXEXTRACT(A151, ""City_([^/]+)"")"),"Bengaluru")</f>
        <v>Bengaluru</v>
      </c>
      <c r="E151" s="1" t="str">
        <f>IFERROR(__xludf.DUMMYFUNCTION("REGEXEXTRACT(A151, ""PRD-([^/]+)"")"),"HappyGrow")</f>
        <v>HappyGrow</v>
      </c>
      <c r="F151" s="1" t="str">
        <f>IFERROR(__xludf.DUMMYFUNCTION("REGEXEXTRACT(A151, ""OPQ\s+(\d+)"")"),"18479")</f>
        <v>18479</v>
      </c>
      <c r="G151" s="1" t="str">
        <f>IFERROR(__xludf.DUMMYFUNCTION("REGEXEXTRACT(A151, ""NPQ\[.*?\](\d+)"")"),"22175")</f>
        <v>22175</v>
      </c>
    </row>
    <row r="152">
      <c r="A152" s="2" t="s">
        <v>265</v>
      </c>
      <c r="B152" s="1" t="str">
        <f>IFERROR(__xludf.DUMMYFUNCTION("REGEXEXTRACT(A152, ""Month\d+"")"),"Month5")</f>
        <v>Month5</v>
      </c>
      <c r="C152" s="1" t="str">
        <f>IFERROR(__xludf.DUMMYFUNCTION("REGEXEXTRACT(A152, ""#([A-Z])#"")
"),"S")</f>
        <v>S</v>
      </c>
      <c r="D152" s="1" t="str">
        <f>IFERROR(__xludf.DUMMYFUNCTION("REGEXEXTRACT(A152, ""City_([^/]+)"")"),"Bengaluru")</f>
        <v>Bengaluru</v>
      </c>
      <c r="E152" s="1" t="str">
        <f>IFERROR(__xludf.DUMMYFUNCTION("REGEXEXTRACT(A152, ""PRD-([^/]+)"")"),"PowerSip")</f>
        <v>PowerSip</v>
      </c>
      <c r="F152" s="1" t="str">
        <f>IFERROR(__xludf.DUMMYFUNCTION("REGEXEXTRACT(A152, ""OPQ\s+(\d+)"")"),"36079")</f>
        <v>36079</v>
      </c>
      <c r="G152" s="1" t="str">
        <f>IFERROR(__xludf.DUMMYFUNCTION("REGEXEXTRACT(A152, ""NPQ\[.*?\](\d+)"")"),"47986")</f>
        <v>47986</v>
      </c>
    </row>
    <row r="153">
      <c r="A153" s="2" t="s">
        <v>266</v>
      </c>
      <c r="B153" s="1" t="str">
        <f>IFERROR(__xludf.DUMMYFUNCTION("REGEXEXTRACT(A153, ""Month\d+"")"),"Month5")</f>
        <v>Month5</v>
      </c>
      <c r="C153" s="1" t="str">
        <f>IFERROR(__xludf.DUMMYFUNCTION("REGEXEXTRACT(A153, ""#([A-Z])#"")
"),"S")</f>
        <v>S</v>
      </c>
      <c r="D153" s="1" t="str">
        <f>IFERROR(__xludf.DUMMYFUNCTION("REGEXEXTRACT(A153, ""City_([^/]+)"")"),"Bengaluru")</f>
        <v>Bengaluru</v>
      </c>
      <c r="E153" s="1" t="str">
        <f>IFERROR(__xludf.DUMMYFUNCTION("REGEXEXTRACT(A153, ""PRD-([^/]+)"")"),"HappyGrow")</f>
        <v>HappyGrow</v>
      </c>
      <c r="F153" s="1" t="str">
        <f>IFERROR(__xludf.DUMMYFUNCTION("REGEXEXTRACT(A153, ""OPQ\s+(\d+)"")"),"32591")</f>
        <v>32591</v>
      </c>
      <c r="G153" s="1" t="str">
        <f>IFERROR(__xludf.DUMMYFUNCTION("REGEXEXTRACT(A153, ""NPQ\[.*?\](\d+)"")"),"39110")</f>
        <v>39110</v>
      </c>
    </row>
    <row r="154">
      <c r="A154" s="2" t="s">
        <v>267</v>
      </c>
      <c r="B154" s="1" t="str">
        <f>IFERROR(__xludf.DUMMYFUNCTION("REGEXEXTRACT(A154, ""Month\d+"")"),"Month5")</f>
        <v>Month5</v>
      </c>
      <c r="C154" s="1" t="str">
        <f>IFERROR(__xludf.DUMMYFUNCTION("REGEXEXTRACT(A154, ""#([A-Z])#"")
"),"N")</f>
        <v>N</v>
      </c>
      <c r="D154" s="1" t="str">
        <f>IFERROR(__xludf.DUMMYFUNCTION("REGEXEXTRACT(A154, ""City_([^/]+)"")"),"Delhi")</f>
        <v>Delhi</v>
      </c>
      <c r="E154" s="1" t="str">
        <f>IFERROR(__xludf.DUMMYFUNCTION("REGEXEXTRACT(A154, ""PRD-([^/]+)"")"),"PowerSip")</f>
        <v>PowerSip</v>
      </c>
      <c r="F154" s="1" t="str">
        <f>IFERROR(__xludf.DUMMYFUNCTION("REGEXEXTRACT(A154, ""OPQ\s+(\d+)"")"),"29037")</f>
        <v>29037</v>
      </c>
      <c r="G154" s="1" t="str">
        <f>IFERROR(__xludf.DUMMYFUNCTION("REGEXEXTRACT(A154, ""NPQ\[.*?\](\d+)"")"),"38620")</f>
        <v>38620</v>
      </c>
    </row>
    <row r="155">
      <c r="A155" s="2" t="s">
        <v>268</v>
      </c>
      <c r="B155" s="1" t="str">
        <f>IFERROR(__xludf.DUMMYFUNCTION("REGEXEXTRACT(A155, ""Month\d+"")"),"Month5")</f>
        <v>Month5</v>
      </c>
      <c r="C155" s="1" t="str">
        <f>IFERROR(__xludf.DUMMYFUNCTION("REGEXEXTRACT(A155, ""#([A-Z])#"")
"),"N")</f>
        <v>N</v>
      </c>
      <c r="D155" s="1" t="str">
        <f>IFERROR(__xludf.DUMMYFUNCTION("REGEXEXTRACT(A155, ""City_([^/]+)"")"),"Delhi")</f>
        <v>Delhi</v>
      </c>
      <c r="E155" s="1" t="str">
        <f>IFERROR(__xludf.DUMMYFUNCTION("REGEXEXTRACT(A155, ""PRD-([^/]+)"")"),"HappyGrow")</f>
        <v>HappyGrow</v>
      </c>
      <c r="F155" s="1" t="str">
        <f>IFERROR(__xludf.DUMMYFUNCTION("REGEXEXTRACT(A155, ""OPQ\s+(\d+)"")"),"16150")</f>
        <v>16150</v>
      </c>
      <c r="G155" s="1" t="str">
        <f>IFERROR(__xludf.DUMMYFUNCTION("REGEXEXTRACT(A155, ""NPQ\[.*?\](\d+)"")"),"19542")</f>
        <v>19542</v>
      </c>
    </row>
    <row r="156">
      <c r="A156" s="2" t="s">
        <v>269</v>
      </c>
      <c r="B156" s="1" t="str">
        <f>IFERROR(__xludf.DUMMYFUNCTION("REGEXEXTRACT(A156, ""Month\d+"")"),"Month5")</f>
        <v>Month5</v>
      </c>
      <c r="C156" s="1" t="str">
        <f>IFERROR(__xludf.DUMMYFUNCTION("REGEXEXTRACT(A156, ""#([A-Z])#"")
"),"E")</f>
        <v>E</v>
      </c>
      <c r="D156" s="1" t="str">
        <f>IFERROR(__xludf.DUMMYFUNCTION("REGEXEXTRACT(A156, ""City_([^/]+)"")"),"Delhi")</f>
        <v>Delhi</v>
      </c>
      <c r="E156" s="1" t="str">
        <f>IFERROR(__xludf.DUMMYFUNCTION("REGEXEXTRACT(A156, ""PRD-([^/]+)"")"),"PowerSip")</f>
        <v>PowerSip</v>
      </c>
      <c r="F156" s="1" t="str">
        <f>IFERROR(__xludf.DUMMYFUNCTION("REGEXEXTRACT(A156, ""OPQ\s+(\d+)"")"),"31582")</f>
        <v>31582</v>
      </c>
      <c r="G156" s="1" t="str">
        <f>IFERROR(__xludf.DUMMYFUNCTION("REGEXEXTRACT(A156, ""NPQ\[.*?\](\d+)"")"),"42005")</f>
        <v>42005</v>
      </c>
    </row>
    <row r="157">
      <c r="A157" s="2" t="s">
        <v>270</v>
      </c>
      <c r="B157" s="1" t="str">
        <f>IFERROR(__xludf.DUMMYFUNCTION("REGEXEXTRACT(A157, ""Month\d+"")"),"Month5")</f>
        <v>Month5</v>
      </c>
      <c r="C157" s="1" t="str">
        <f>IFERROR(__xludf.DUMMYFUNCTION("REGEXEXTRACT(A157, ""#([A-Z])#"")
"),"E")</f>
        <v>E</v>
      </c>
      <c r="D157" s="1" t="str">
        <f>IFERROR(__xludf.DUMMYFUNCTION("REGEXEXTRACT(A157, ""City_([^/]+)"")"),"Delhi")</f>
        <v>Delhi</v>
      </c>
      <c r="E157" s="1" t="str">
        <f>IFERROR(__xludf.DUMMYFUNCTION("REGEXEXTRACT(A157, ""PRD-([^/]+)"")"),"HappyGrow")</f>
        <v>HappyGrow</v>
      </c>
      <c r="F157" s="1" t="str">
        <f>IFERROR(__xludf.DUMMYFUNCTION("REGEXEXTRACT(A157, ""OPQ\s+(\d+)"")"),"17460")</f>
        <v>17460</v>
      </c>
      <c r="G157" s="1" t="str">
        <f>IFERROR(__xludf.DUMMYFUNCTION("REGEXEXTRACT(A157, ""NPQ\[.*?\](\d+)"")"),"21127")</f>
        <v>21127</v>
      </c>
    </row>
    <row r="158">
      <c r="A158" s="2" t="s">
        <v>271</v>
      </c>
      <c r="B158" s="1" t="str">
        <f>IFERROR(__xludf.DUMMYFUNCTION("REGEXEXTRACT(A158, ""Month\d+"")"),"Month5")</f>
        <v>Month5</v>
      </c>
      <c r="C158" s="1" t="str">
        <f>IFERROR(__xludf.DUMMYFUNCTION("REGEXEXTRACT(A158, ""#([A-Z])#"")
"),"W")</f>
        <v>W</v>
      </c>
      <c r="D158" s="1" t="str">
        <f>IFERROR(__xludf.DUMMYFUNCTION("REGEXEXTRACT(A158, ""City_([^/]+)"")"),"Delhi")</f>
        <v>Delhi</v>
      </c>
      <c r="E158" s="1" t="str">
        <f>IFERROR(__xludf.DUMMYFUNCTION("REGEXEXTRACT(A158, ""PRD-([^/]+)"")"),"PowerSip")</f>
        <v>PowerSip</v>
      </c>
      <c r="F158" s="1" t="str">
        <f>IFERROR(__xludf.DUMMYFUNCTION("REGEXEXTRACT(A158, ""OPQ\s+(\d+)"")"),"29415")</f>
        <v>29415</v>
      </c>
      <c r="G158" s="1" t="str">
        <f>IFERROR(__xludf.DUMMYFUNCTION("REGEXEXTRACT(A158, ""NPQ\[.*?\](\d+)"")"),"39417")</f>
        <v>39417</v>
      </c>
    </row>
    <row r="159">
      <c r="A159" s="2" t="s">
        <v>272</v>
      </c>
      <c r="B159" s="1" t="str">
        <f>IFERROR(__xludf.DUMMYFUNCTION("REGEXEXTRACT(A159, ""Month\d+"")"),"Month5")</f>
        <v>Month5</v>
      </c>
      <c r="C159" s="1" t="str">
        <f>IFERROR(__xludf.DUMMYFUNCTION("REGEXEXTRACT(A159, ""#([A-Z])#"")
"),"W")</f>
        <v>W</v>
      </c>
      <c r="D159" s="1" t="str">
        <f>IFERROR(__xludf.DUMMYFUNCTION("REGEXEXTRACT(A159, ""City_([^/]+)"")"),"Delhi")</f>
        <v>Delhi</v>
      </c>
      <c r="E159" s="1" t="str">
        <f>IFERROR(__xludf.DUMMYFUNCTION("REGEXEXTRACT(A159, ""PRD-([^/]+)"")"),"HappyGrow")</f>
        <v>HappyGrow</v>
      </c>
      <c r="F159" s="1" t="str">
        <f>IFERROR(__xludf.DUMMYFUNCTION("REGEXEXTRACT(A159, ""OPQ\s+(\d+)"")"),"19982")</f>
        <v>19982</v>
      </c>
      <c r="G159" s="1" t="str">
        <f>IFERROR(__xludf.DUMMYFUNCTION("REGEXEXTRACT(A159, ""NPQ\[.*?\](\d+)"")"),"24179")</f>
        <v>24179</v>
      </c>
    </row>
    <row r="160">
      <c r="A160" s="2" t="s">
        <v>273</v>
      </c>
      <c r="B160" s="1" t="str">
        <f>IFERROR(__xludf.DUMMYFUNCTION("REGEXEXTRACT(A160, ""Month\d+"")"),"Month5")</f>
        <v>Month5</v>
      </c>
      <c r="C160" s="1" t="str">
        <f>IFERROR(__xludf.DUMMYFUNCTION("REGEXEXTRACT(A160, ""#([A-Z])#"")
"),"S")</f>
        <v>S</v>
      </c>
      <c r="D160" s="1" t="str">
        <f>IFERROR(__xludf.DUMMYFUNCTION("REGEXEXTRACT(A160, ""City_([^/]+)"")"),"Delhi")</f>
        <v>Delhi</v>
      </c>
      <c r="E160" s="1" t="str">
        <f>IFERROR(__xludf.DUMMYFUNCTION("REGEXEXTRACT(A160, ""PRD-([^/]+)"")"),"PowerSip")</f>
        <v>PowerSip</v>
      </c>
      <c r="F160" s="1" t="str">
        <f>IFERROR(__xludf.DUMMYFUNCTION("REGEXEXTRACT(A160, ""OPQ\s+(\d+)"")"),"25353")</f>
        <v>25353</v>
      </c>
      <c r="G160" s="1" t="str">
        <f>IFERROR(__xludf.DUMMYFUNCTION("REGEXEXTRACT(A160, ""NPQ\[.*?\](\d+)"")"),"33974")</f>
        <v>33974</v>
      </c>
    </row>
    <row r="161">
      <c r="A161" s="2" t="s">
        <v>274</v>
      </c>
      <c r="B161" s="1" t="str">
        <f>IFERROR(__xludf.DUMMYFUNCTION("REGEXEXTRACT(A161, ""Month\d+"")"),"Month5")</f>
        <v>Month5</v>
      </c>
      <c r="C161" s="1" t="str">
        <f>IFERROR(__xludf.DUMMYFUNCTION("REGEXEXTRACT(A161, ""#([A-Z])#"")
"),"S")</f>
        <v>S</v>
      </c>
      <c r="D161" s="1" t="str">
        <f>IFERROR(__xludf.DUMMYFUNCTION("REGEXEXTRACT(A161, ""City_([^/]+)"")"),"Delhi")</f>
        <v>Delhi</v>
      </c>
      <c r="E161" s="1" t="str">
        <f>IFERROR(__xludf.DUMMYFUNCTION("REGEXEXTRACT(A161, ""PRD-([^/]+)"")"),"HappyGrow")</f>
        <v>HappyGrow</v>
      </c>
      <c r="F161" s="1" t="str">
        <f>IFERROR(__xludf.DUMMYFUNCTION("REGEXEXTRACT(A161, ""OPQ\s+(\d+)"")"),"29974")</f>
        <v>29974</v>
      </c>
      <c r="G161" s="1" t="str">
        <f>IFERROR(__xludf.DUMMYFUNCTION("REGEXEXTRACT(A161, ""NPQ\[.*?\](\d+)"")"),"36269")</f>
        <v>36269</v>
      </c>
    </row>
    <row r="162">
      <c r="A162" s="2" t="s">
        <v>275</v>
      </c>
      <c r="B162" s="1" t="str">
        <f>IFERROR(__xludf.DUMMYFUNCTION("REGEXEXTRACT(A162, ""Month\d+"")"),"Month6")</f>
        <v>Month6</v>
      </c>
      <c r="C162" s="1" t="str">
        <f>IFERROR(__xludf.DUMMYFUNCTION("REGEXEXTRACT(A162, ""#([A-Z])#"")
"),"N")</f>
        <v>N</v>
      </c>
      <c r="D162" s="1" t="str">
        <f>IFERROR(__xludf.DUMMYFUNCTION("REGEXEXTRACT(A162, ""City_([^/]+)"")"),"Chennai")</f>
        <v>Chennai</v>
      </c>
      <c r="E162" s="1" t="str">
        <f>IFERROR(__xludf.DUMMYFUNCTION("REGEXEXTRACT(A162, ""PRD-([^/]+)"")"),"PowerSip")</f>
        <v>PowerSip</v>
      </c>
      <c r="F162" s="1" t="str">
        <f>IFERROR(__xludf.DUMMYFUNCTION("REGEXEXTRACT(A162, ""OPQ\s+(\d+)"")"),"34621")</f>
        <v>34621</v>
      </c>
      <c r="G162" s="1" t="str">
        <f>IFERROR(__xludf.DUMMYFUNCTION("REGEXEXTRACT(A162, ""NPQ\[.*?\](\d+)"")"),"46739")</f>
        <v>46739</v>
      </c>
    </row>
    <row r="163">
      <c r="A163" s="2" t="s">
        <v>276</v>
      </c>
      <c r="B163" s="1" t="str">
        <f>IFERROR(__xludf.DUMMYFUNCTION("REGEXEXTRACT(A163, ""Month\d+"")"),"Month6")</f>
        <v>Month6</v>
      </c>
      <c r="C163" s="1" t="str">
        <f>IFERROR(__xludf.DUMMYFUNCTION("REGEXEXTRACT(A163, ""#([A-Z])#"")
"),"N")</f>
        <v>N</v>
      </c>
      <c r="D163" s="1" t="str">
        <f>IFERROR(__xludf.DUMMYFUNCTION("REGEXEXTRACT(A163, ""City_([^/]+)"")"),"Chennai")</f>
        <v>Chennai</v>
      </c>
      <c r="E163" s="1" t="str">
        <f>IFERROR(__xludf.DUMMYFUNCTION("REGEXEXTRACT(A163, ""PRD-([^/]+)"")"),"HappyGrow")</f>
        <v>HappyGrow</v>
      </c>
      <c r="F163" s="1" t="str">
        <f>IFERROR(__xludf.DUMMYFUNCTION("REGEXEXTRACT(A163, ""OPQ\s+(\d+)"")"),"23353")</f>
        <v>23353</v>
      </c>
      <c r="G163" s="1" t="str">
        <f>IFERROR(__xludf.DUMMYFUNCTION("REGEXEXTRACT(A163, ""NPQ\[.*?\](\d+)"")"),"28258")</f>
        <v>28258</v>
      </c>
    </row>
    <row r="164">
      <c r="A164" s="2" t="s">
        <v>277</v>
      </c>
      <c r="B164" s="1" t="str">
        <f>IFERROR(__xludf.DUMMYFUNCTION("REGEXEXTRACT(A164, ""Month\d+"")"),"Month6")</f>
        <v>Month6</v>
      </c>
      <c r="C164" s="1" t="str">
        <f>IFERROR(__xludf.DUMMYFUNCTION("REGEXEXTRACT(A164, ""#([A-Z])#"")
"),"E")</f>
        <v>E</v>
      </c>
      <c r="D164" s="1" t="str">
        <f>IFERROR(__xludf.DUMMYFUNCTION("REGEXEXTRACT(A164, ""City_([^/]+)"")"),"Chennai")</f>
        <v>Chennai</v>
      </c>
      <c r="E164" s="1" t="str">
        <f>IFERROR(__xludf.DUMMYFUNCTION("REGEXEXTRACT(A164, ""PRD-([^/]+)"")"),"PowerSip")</f>
        <v>PowerSip</v>
      </c>
      <c r="F164" s="1" t="str">
        <f>IFERROR(__xludf.DUMMYFUNCTION("REGEXEXTRACT(A164, ""OPQ\s+(\d+)"")"),"18473")</f>
        <v>18473</v>
      </c>
      <c r="G164" s="1" t="str">
        <f>IFERROR(__xludf.DUMMYFUNCTION("REGEXEXTRACT(A164, ""NPQ\[.*?\](\d+)"")"),"24939")</f>
        <v>24939</v>
      </c>
    </row>
    <row r="165">
      <c r="A165" s="2" t="s">
        <v>278</v>
      </c>
      <c r="B165" s="1" t="str">
        <f>IFERROR(__xludf.DUMMYFUNCTION("REGEXEXTRACT(A165, ""Month\d+"")"),"Month6")</f>
        <v>Month6</v>
      </c>
      <c r="C165" s="1" t="str">
        <f>IFERROR(__xludf.DUMMYFUNCTION("REGEXEXTRACT(A165, ""#([A-Z])#"")
"),"E")</f>
        <v>E</v>
      </c>
      <c r="D165" s="1" t="str">
        <f>IFERROR(__xludf.DUMMYFUNCTION("REGEXEXTRACT(A165, ""City_([^/]+)"")"),"Chennai")</f>
        <v>Chennai</v>
      </c>
      <c r="E165" s="1" t="str">
        <f>IFERROR(__xludf.DUMMYFUNCTION("REGEXEXTRACT(A165, ""PRD-([^/]+)"")"),"HappyGrow")</f>
        <v>HappyGrow</v>
      </c>
      <c r="F165" s="1" t="str">
        <f>IFERROR(__xludf.DUMMYFUNCTION("REGEXEXTRACT(A165, ""OPQ\s+(\d+)"")"),"31344")</f>
        <v>31344</v>
      </c>
      <c r="G165" s="1" t="str">
        <f>IFERROR(__xludf.DUMMYFUNCTION("REGEXEXTRACT(A165, ""NPQ\[.*?\](\d+)"")"),"38240")</f>
        <v>38240</v>
      </c>
    </row>
    <row r="166">
      <c r="A166" s="2" t="s">
        <v>279</v>
      </c>
      <c r="B166" s="1" t="str">
        <f>IFERROR(__xludf.DUMMYFUNCTION("REGEXEXTRACT(A166, ""Month\d+"")"),"Month6")</f>
        <v>Month6</v>
      </c>
      <c r="C166" s="1" t="str">
        <f>IFERROR(__xludf.DUMMYFUNCTION("REGEXEXTRACT(A166, ""#([A-Z])#"")
"),"W")</f>
        <v>W</v>
      </c>
      <c r="D166" s="1" t="str">
        <f>IFERROR(__xludf.DUMMYFUNCTION("REGEXEXTRACT(A166, ""City_([^/]+)"")"),"Chennai")</f>
        <v>Chennai</v>
      </c>
      <c r="E166" s="1" t="str">
        <f>IFERROR(__xludf.DUMMYFUNCTION("REGEXEXTRACT(A166, ""PRD-([^/]+)"")"),"PowerSip")</f>
        <v>PowerSip</v>
      </c>
      <c r="F166" s="1" t="str">
        <f>IFERROR(__xludf.DUMMYFUNCTION("REGEXEXTRACT(A166, ""OPQ\s+(\d+)"")"),"22108")</f>
        <v>22108</v>
      </c>
      <c r="G166" s="1" t="str">
        <f>IFERROR(__xludf.DUMMYFUNCTION("REGEXEXTRACT(A166, ""NPQ\[.*?\](\d+)"")"),"30067")</f>
        <v>30067</v>
      </c>
    </row>
    <row r="167">
      <c r="A167" s="2" t="s">
        <v>280</v>
      </c>
      <c r="B167" s="1" t="str">
        <f>IFERROR(__xludf.DUMMYFUNCTION("REGEXEXTRACT(A167, ""Month\d+"")"),"Month6")</f>
        <v>Month6</v>
      </c>
      <c r="C167" s="1" t="str">
        <f>IFERROR(__xludf.DUMMYFUNCTION("REGEXEXTRACT(A167, ""#([A-Z])#"")
"),"W")</f>
        <v>W</v>
      </c>
      <c r="D167" s="1" t="str">
        <f>IFERROR(__xludf.DUMMYFUNCTION("REGEXEXTRACT(A167, ""City_([^/]+)"")"),"Chennai")</f>
        <v>Chennai</v>
      </c>
      <c r="E167" s="1" t="str">
        <f>IFERROR(__xludf.DUMMYFUNCTION("REGEXEXTRACT(A167, ""PRD-([^/]+)"")"),"HappyGrow")</f>
        <v>HappyGrow</v>
      </c>
      <c r="F167" s="1" t="str">
        <f>IFERROR(__xludf.DUMMYFUNCTION("REGEXEXTRACT(A167, ""OPQ\s+(\d+)"")"),"22159")</f>
        <v>22159</v>
      </c>
      <c r="G167" s="1" t="str">
        <f>IFERROR(__xludf.DUMMYFUNCTION("REGEXEXTRACT(A167, ""NPQ\[.*?\](\d+)"")"),"27034")</f>
        <v>27034</v>
      </c>
    </row>
    <row r="168">
      <c r="A168" s="2" t="s">
        <v>281</v>
      </c>
      <c r="B168" s="1" t="str">
        <f>IFERROR(__xludf.DUMMYFUNCTION("REGEXEXTRACT(A168, ""Month\d+"")"),"Month6")</f>
        <v>Month6</v>
      </c>
      <c r="C168" s="1" t="str">
        <f>IFERROR(__xludf.DUMMYFUNCTION("REGEXEXTRACT(A168, ""#([A-Z])#"")
"),"S")</f>
        <v>S</v>
      </c>
      <c r="D168" s="1" t="str">
        <f>IFERROR(__xludf.DUMMYFUNCTION("REGEXEXTRACT(A168, ""City_([^/]+)"")"),"Chennai")</f>
        <v>Chennai</v>
      </c>
      <c r="E168" s="1" t="str">
        <f>IFERROR(__xludf.DUMMYFUNCTION("REGEXEXTRACT(A168, ""PRD-([^/]+)"")"),"PowerSip")</f>
        <v>PowerSip</v>
      </c>
      <c r="F168" s="1" t="str">
        <f>IFERROR(__xludf.DUMMYFUNCTION("REGEXEXTRACT(A168, ""OPQ\s+(\d+)"")"),"39985")</f>
        <v>39985</v>
      </c>
      <c r="G168" s="1" t="str">
        <f>IFERROR(__xludf.DUMMYFUNCTION("REGEXEXTRACT(A168, ""NPQ\[.*?\](\d+)"")"),"54380")</f>
        <v>54380</v>
      </c>
    </row>
    <row r="169">
      <c r="A169" s="2" t="s">
        <v>282</v>
      </c>
      <c r="B169" s="1" t="str">
        <f>IFERROR(__xludf.DUMMYFUNCTION("REGEXEXTRACT(A169, ""Month\d+"")"),"Month6")</f>
        <v>Month6</v>
      </c>
      <c r="C169" s="1" t="str">
        <f>IFERROR(__xludf.DUMMYFUNCTION("REGEXEXTRACT(A169, ""#([A-Z])#"")
"),"S")</f>
        <v>S</v>
      </c>
      <c r="D169" s="1" t="str">
        <f>IFERROR(__xludf.DUMMYFUNCTION("REGEXEXTRACT(A169, ""City_([^/]+)"")"),"Chennai")</f>
        <v>Chennai</v>
      </c>
      <c r="E169" s="1" t="str">
        <f>IFERROR(__xludf.DUMMYFUNCTION("REGEXEXTRACT(A169, ""PRD-([^/]+)"")"),"HappyGrow")</f>
        <v>HappyGrow</v>
      </c>
      <c r="F169" s="1" t="str">
        <f>IFERROR(__xludf.DUMMYFUNCTION("REGEXEXTRACT(A169, ""OPQ\s+(\d+)"")"),"18890")</f>
        <v>18890</v>
      </c>
      <c r="G169" s="1" t="str">
        <f>IFERROR(__xludf.DUMMYFUNCTION("REGEXEXTRACT(A169, ""NPQ\[.*?\](\d+)"")"),"23046")</f>
        <v>23046</v>
      </c>
    </row>
    <row r="170">
      <c r="A170" s="2" t="s">
        <v>283</v>
      </c>
      <c r="B170" s="1" t="str">
        <f>IFERROR(__xludf.DUMMYFUNCTION("REGEXEXTRACT(A170, ""Month\d+"")"),"Month6")</f>
        <v>Month6</v>
      </c>
      <c r="C170" s="1" t="str">
        <f>IFERROR(__xludf.DUMMYFUNCTION("REGEXEXTRACT(A170, ""#([A-Z])#"")
"),"N")</f>
        <v>N</v>
      </c>
      <c r="D170" s="1" t="str">
        <f>IFERROR(__xludf.DUMMYFUNCTION("REGEXEXTRACT(A170, ""City_([^/]+)"")"),"Mumbai")</f>
        <v>Mumbai</v>
      </c>
      <c r="E170" s="1" t="str">
        <f>IFERROR(__xludf.DUMMYFUNCTION("REGEXEXTRACT(A170, ""PRD-([^/]+)"")"),"PowerSip")</f>
        <v>PowerSip</v>
      </c>
      <c r="F170" s="1" t="str">
        <f>IFERROR(__xludf.DUMMYFUNCTION("REGEXEXTRACT(A170, ""OPQ\s+(\d+)"")"),"35814")</f>
        <v>35814</v>
      </c>
      <c r="G170" s="1" t="str">
        <f>IFERROR(__xludf.DUMMYFUNCTION("REGEXEXTRACT(A170, ""NPQ\[.*?\](\d+)"")"),"49066")</f>
        <v>49066</v>
      </c>
    </row>
    <row r="171">
      <c r="A171" s="2" t="s">
        <v>284</v>
      </c>
      <c r="B171" s="1" t="str">
        <f>IFERROR(__xludf.DUMMYFUNCTION("REGEXEXTRACT(A171, ""Month\d+"")"),"Month6")</f>
        <v>Month6</v>
      </c>
      <c r="C171" s="1" t="str">
        <f>IFERROR(__xludf.DUMMYFUNCTION("REGEXEXTRACT(A171, ""#([A-Z])#"")
"),"N")</f>
        <v>N</v>
      </c>
      <c r="D171" s="1" t="str">
        <f>IFERROR(__xludf.DUMMYFUNCTION("REGEXEXTRACT(A171, ""City_([^/]+)"")"),"Mumbai")</f>
        <v>Mumbai</v>
      </c>
      <c r="E171" s="1" t="str">
        <f>IFERROR(__xludf.DUMMYFUNCTION("REGEXEXTRACT(A171, ""PRD-([^/]+)"")"),"HappyGrow")</f>
        <v>HappyGrow</v>
      </c>
      <c r="F171" s="1" t="str">
        <f>IFERROR(__xludf.DUMMYFUNCTION("REGEXEXTRACT(A171, ""OPQ\s+(\d+)"")"),"32848")</f>
        <v>32848</v>
      </c>
      <c r="G171" s="1" t="str">
        <f>IFERROR(__xludf.DUMMYFUNCTION("REGEXEXTRACT(A171, ""NPQ\[.*?\](\d+)"")"),"40075")</f>
        <v>40075</v>
      </c>
    </row>
    <row r="172">
      <c r="A172" s="2" t="s">
        <v>285</v>
      </c>
      <c r="B172" s="1" t="str">
        <f>IFERROR(__xludf.DUMMYFUNCTION("REGEXEXTRACT(A172, ""Month\d+"")"),"Month6")</f>
        <v>Month6</v>
      </c>
      <c r="C172" s="1" t="str">
        <f>IFERROR(__xludf.DUMMYFUNCTION("REGEXEXTRACT(A172, ""#([A-Z])#"")
"),"E")</f>
        <v>E</v>
      </c>
      <c r="D172" s="1" t="str">
        <f>IFERROR(__xludf.DUMMYFUNCTION("REGEXEXTRACT(A172, ""City_([^/]+)"")"),"Mumbai")</f>
        <v>Mumbai</v>
      </c>
      <c r="E172" s="1" t="str">
        <f>IFERROR(__xludf.DUMMYFUNCTION("REGEXEXTRACT(A172, ""PRD-([^/]+)"")"),"PowerSip")</f>
        <v>PowerSip</v>
      </c>
      <c r="F172" s="1" t="str">
        <f>IFERROR(__xludf.DUMMYFUNCTION("REGEXEXTRACT(A172, ""OPQ\s+(\d+)"")"),"20083")</f>
        <v>20083</v>
      </c>
      <c r="G172" s="1" t="str">
        <f>IFERROR(__xludf.DUMMYFUNCTION("REGEXEXTRACT(A172, ""NPQ\[.*?\](\d+)"")"),"27514")</f>
        <v>27514</v>
      </c>
    </row>
    <row r="173">
      <c r="A173" s="2" t="s">
        <v>286</v>
      </c>
      <c r="B173" s="1" t="str">
        <f>IFERROR(__xludf.DUMMYFUNCTION("REGEXEXTRACT(A173, ""Month\d+"")"),"Month6")</f>
        <v>Month6</v>
      </c>
      <c r="C173" s="1" t="str">
        <f>IFERROR(__xludf.DUMMYFUNCTION("REGEXEXTRACT(A173, ""#([A-Z])#"")
"),"E")</f>
        <v>E</v>
      </c>
      <c r="D173" s="1" t="str">
        <f>IFERROR(__xludf.DUMMYFUNCTION("REGEXEXTRACT(A173, ""City_([^/]+)"")"),"Mumbai")</f>
        <v>Mumbai</v>
      </c>
      <c r="E173" s="1" t="str">
        <f>IFERROR(__xludf.DUMMYFUNCTION("REGEXEXTRACT(A173, ""PRD-([^/]+)"")"),"HappyGrow")</f>
        <v>HappyGrow</v>
      </c>
      <c r="F173" s="1" t="str">
        <f>IFERROR(__xludf.DUMMYFUNCTION("REGEXEXTRACT(A173, ""OPQ\s+(\d+)"")"),"22938")</f>
        <v>22938</v>
      </c>
      <c r="G173" s="1" t="str">
        <f>IFERROR(__xludf.DUMMYFUNCTION("REGEXEXTRACT(A173, ""NPQ\[.*?\](\d+)"")"),"27985")</f>
        <v>27985</v>
      </c>
    </row>
    <row r="174">
      <c r="A174" s="2" t="s">
        <v>287</v>
      </c>
      <c r="B174" s="1" t="str">
        <f>IFERROR(__xludf.DUMMYFUNCTION("REGEXEXTRACT(A174, ""Month\d+"")"),"Month6")</f>
        <v>Month6</v>
      </c>
      <c r="C174" s="1" t="str">
        <f>IFERROR(__xludf.DUMMYFUNCTION("REGEXEXTRACT(A174, ""#([A-Z])#"")
"),"W")</f>
        <v>W</v>
      </c>
      <c r="D174" s="1" t="str">
        <f>IFERROR(__xludf.DUMMYFUNCTION("REGEXEXTRACT(A174, ""City_([^/]+)"")"),"Mumbai")</f>
        <v>Mumbai</v>
      </c>
      <c r="E174" s="1" t="str">
        <f>IFERROR(__xludf.DUMMYFUNCTION("REGEXEXTRACT(A174, ""PRD-([^/]+)"")"),"PowerSip")</f>
        <v>PowerSip</v>
      </c>
      <c r="F174" s="1" t="str">
        <f>IFERROR(__xludf.DUMMYFUNCTION("REGEXEXTRACT(A174, ""OPQ\s+(\d+)"")"),"31463")</f>
        <v>31463</v>
      </c>
      <c r="G174" s="1" t="str">
        <f>IFERROR(__xludf.DUMMYFUNCTION("REGEXEXTRACT(A174, ""NPQ\[.*?\](\d+)"")"),"43419")</f>
        <v>43419</v>
      </c>
    </row>
    <row r="175">
      <c r="A175" s="2" t="s">
        <v>288</v>
      </c>
      <c r="B175" s="1" t="str">
        <f>IFERROR(__xludf.DUMMYFUNCTION("REGEXEXTRACT(A175, ""Month\d+"")"),"Month6")</f>
        <v>Month6</v>
      </c>
      <c r="C175" s="1" t="str">
        <f>IFERROR(__xludf.DUMMYFUNCTION("REGEXEXTRACT(A175, ""#([A-Z])#"")
"),"W")</f>
        <v>W</v>
      </c>
      <c r="D175" s="1" t="str">
        <f>IFERROR(__xludf.DUMMYFUNCTION("REGEXEXTRACT(A175, ""City_([^/]+)"")"),"Mumbai")</f>
        <v>Mumbai</v>
      </c>
      <c r="E175" s="1" t="str">
        <f>IFERROR(__xludf.DUMMYFUNCTION("REGEXEXTRACT(A175, ""PRD-([^/]+)"")"),"HappyGrow")</f>
        <v>HappyGrow</v>
      </c>
      <c r="F175" s="1" t="str">
        <f>IFERROR(__xludf.DUMMYFUNCTION("REGEXEXTRACT(A175, ""OPQ\s+(\d+)"")"),"15931")</f>
        <v>15931</v>
      </c>
      <c r="G175" s="1" t="str">
        <f>IFERROR(__xludf.DUMMYFUNCTION("REGEXEXTRACT(A175, ""NPQ\[.*?\](\d+)"")"),"19436")</f>
        <v>19436</v>
      </c>
    </row>
    <row r="176">
      <c r="A176" s="2" t="s">
        <v>289</v>
      </c>
      <c r="B176" s="1" t="str">
        <f>IFERROR(__xludf.DUMMYFUNCTION("REGEXEXTRACT(A176, ""Month\d+"")"),"Month6")</f>
        <v>Month6</v>
      </c>
      <c r="C176" s="1" t="str">
        <f>IFERROR(__xludf.DUMMYFUNCTION("REGEXEXTRACT(A176, ""#([A-Z])#"")
"),"S")</f>
        <v>S</v>
      </c>
      <c r="D176" s="1" t="str">
        <f>IFERROR(__xludf.DUMMYFUNCTION("REGEXEXTRACT(A176, ""City_([^/]+)"")"),"Mumbai")</f>
        <v>Mumbai</v>
      </c>
      <c r="E176" s="1" t="str">
        <f>IFERROR(__xludf.DUMMYFUNCTION("REGEXEXTRACT(A176, ""PRD-([^/]+)"")"),"PowerSip")</f>
        <v>PowerSip</v>
      </c>
      <c r="F176" s="1" t="str">
        <f>IFERROR(__xludf.DUMMYFUNCTION("REGEXEXTRACT(A176, ""OPQ\s+(\d+)"")"),"19427")</f>
        <v>19427</v>
      </c>
      <c r="G176" s="1" t="str">
        <f>IFERROR(__xludf.DUMMYFUNCTION("REGEXEXTRACT(A176, ""NPQ\[.*?\](\d+)"")"),"27004")</f>
        <v>27004</v>
      </c>
    </row>
    <row r="177">
      <c r="A177" s="2" t="s">
        <v>290</v>
      </c>
      <c r="B177" s="1" t="str">
        <f>IFERROR(__xludf.DUMMYFUNCTION("REGEXEXTRACT(A177, ""Month\d+"")"),"Month6")</f>
        <v>Month6</v>
      </c>
      <c r="C177" s="1" t="str">
        <f>IFERROR(__xludf.DUMMYFUNCTION("REGEXEXTRACT(A177, ""#([A-Z])#"")
"),"S")</f>
        <v>S</v>
      </c>
      <c r="D177" s="1" t="str">
        <f>IFERROR(__xludf.DUMMYFUNCTION("REGEXEXTRACT(A177, ""City_([^/]+)"")"),"Mumbai")</f>
        <v>Mumbai</v>
      </c>
      <c r="E177" s="1" t="str">
        <f>IFERROR(__xludf.DUMMYFUNCTION("REGEXEXTRACT(A177, ""PRD-([^/]+)"")"),"HappyGrow")</f>
        <v>HappyGrow</v>
      </c>
      <c r="F177" s="1" t="str">
        <f>IFERROR(__xludf.DUMMYFUNCTION("REGEXEXTRACT(A177, ""OPQ\s+(\d+)"")"),"19045")</f>
        <v>19045</v>
      </c>
      <c r="G177" s="1" t="str">
        <f>IFERROR(__xludf.DUMMYFUNCTION("REGEXEXTRACT(A177, ""NPQ\[.*?\](\d+)"")"),"23235")</f>
        <v>23235</v>
      </c>
    </row>
    <row r="178">
      <c r="A178" s="2" t="s">
        <v>291</v>
      </c>
      <c r="B178" s="1" t="str">
        <f>IFERROR(__xludf.DUMMYFUNCTION("REGEXEXTRACT(A178, ""Month\d+"")"),"Month6")</f>
        <v>Month6</v>
      </c>
      <c r="C178" s="1" t="str">
        <f>IFERROR(__xludf.DUMMYFUNCTION("REGEXEXTRACT(A178, ""#([A-Z])#"")
"),"N")</f>
        <v>N</v>
      </c>
      <c r="D178" s="1" t="str">
        <f>IFERROR(__xludf.DUMMYFUNCTION("REGEXEXTRACT(A178, ""City_([^/]+)"")"),"Bengaluru")</f>
        <v>Bengaluru</v>
      </c>
      <c r="E178" s="1" t="str">
        <f>IFERROR(__xludf.DUMMYFUNCTION("REGEXEXTRACT(A178, ""PRD-([^/]+)"")"),"PowerSip")</f>
        <v>PowerSip</v>
      </c>
      <c r="F178" s="1" t="str">
        <f>IFERROR(__xludf.DUMMYFUNCTION("REGEXEXTRACT(A178, ""OPQ\s+(\d+)"")"),"34264")</f>
        <v>34264</v>
      </c>
      <c r="G178" s="1" t="str">
        <f>IFERROR(__xludf.DUMMYFUNCTION("REGEXEXTRACT(A178, ""NPQ\[.*?\](\d+)"")"),"47627")</f>
        <v>47627</v>
      </c>
    </row>
    <row r="179">
      <c r="A179" s="2" t="s">
        <v>292</v>
      </c>
      <c r="B179" s="1" t="str">
        <f>IFERROR(__xludf.DUMMYFUNCTION("REGEXEXTRACT(A179, ""Month\d+"")"),"Month6")</f>
        <v>Month6</v>
      </c>
      <c r="C179" s="1" t="str">
        <f>IFERROR(__xludf.DUMMYFUNCTION("REGEXEXTRACT(A179, ""#([A-Z])#"")
"),"N")</f>
        <v>N</v>
      </c>
      <c r="D179" s="1" t="str">
        <f>IFERROR(__xludf.DUMMYFUNCTION("REGEXEXTRACT(A179, ""City_([^/]+)"")"),"Bengaluru")</f>
        <v>Bengaluru</v>
      </c>
      <c r="E179" s="1" t="str">
        <f>IFERROR(__xludf.DUMMYFUNCTION("REGEXEXTRACT(A179, ""PRD-([^/]+)"")"),"HappyGrow")</f>
        <v>HappyGrow</v>
      </c>
      <c r="F179" s="1" t="str">
        <f>IFERROR(__xludf.DUMMYFUNCTION("REGEXEXTRACT(A179, ""OPQ\s+(\d+)"")"),"26104")</f>
        <v>26104</v>
      </c>
      <c r="G179" s="1" t="str">
        <f>IFERROR(__xludf.DUMMYFUNCTION("REGEXEXTRACT(A179, ""NPQ\[.*?\](\d+)"")"),"32108")</f>
        <v>32108</v>
      </c>
    </row>
    <row r="180">
      <c r="A180" s="2" t="s">
        <v>293</v>
      </c>
      <c r="B180" s="1" t="str">
        <f>IFERROR(__xludf.DUMMYFUNCTION("REGEXEXTRACT(A180, ""Month\d+"")"),"Month6")</f>
        <v>Month6</v>
      </c>
      <c r="C180" s="1" t="str">
        <f>IFERROR(__xludf.DUMMYFUNCTION("REGEXEXTRACT(A180, ""#([A-Z])#"")
"),"E")</f>
        <v>E</v>
      </c>
      <c r="D180" s="1" t="str">
        <f>IFERROR(__xludf.DUMMYFUNCTION("REGEXEXTRACT(A180, ""City_([^/]+)"")"),"Bengaluru")</f>
        <v>Bengaluru</v>
      </c>
      <c r="E180" s="1" t="str">
        <f>IFERROR(__xludf.DUMMYFUNCTION("REGEXEXTRACT(A180, ""PRD-([^/]+)"")"),"PowerSip")</f>
        <v>PowerSip</v>
      </c>
      <c r="F180" s="1" t="str">
        <f>IFERROR(__xludf.DUMMYFUNCTION("REGEXEXTRACT(A180, ""OPQ\s+(\d+)"")"),"38733")</f>
        <v>38733</v>
      </c>
      <c r="G180" s="1" t="str">
        <f>IFERROR(__xludf.DUMMYFUNCTION("REGEXEXTRACT(A180, ""NPQ\[.*?\](\d+)"")"),"53839")</f>
        <v>53839</v>
      </c>
    </row>
    <row r="181">
      <c r="A181" s="2" t="s">
        <v>294</v>
      </c>
      <c r="B181" s="1" t="str">
        <f>IFERROR(__xludf.DUMMYFUNCTION("REGEXEXTRACT(A181, ""Month\d+"")"),"Month6")</f>
        <v>Month6</v>
      </c>
      <c r="C181" s="1" t="str">
        <f>IFERROR(__xludf.DUMMYFUNCTION("REGEXEXTRACT(A181, ""#([A-Z])#"")
"),"E")</f>
        <v>E</v>
      </c>
      <c r="D181" s="1" t="str">
        <f>IFERROR(__xludf.DUMMYFUNCTION("REGEXEXTRACT(A181, ""City_([^/]+)"")"),"Bengaluru")</f>
        <v>Bengaluru</v>
      </c>
      <c r="E181" s="1" t="str">
        <f>IFERROR(__xludf.DUMMYFUNCTION("REGEXEXTRACT(A181, ""PRD-([^/]+)"")"),"HappyGrow")</f>
        <v>HappyGrow</v>
      </c>
      <c r="F181" s="1" t="str">
        <f>IFERROR(__xludf.DUMMYFUNCTION("REGEXEXTRACT(A181, ""OPQ\s+(\d+)"")"),"21225")</f>
        <v>21225</v>
      </c>
      <c r="G181" s="1" t="str">
        <f>IFERROR(__xludf.DUMMYFUNCTION("REGEXEXTRACT(A181, ""NPQ\[.*?\](\d+)"")"),"26107")</f>
        <v>26107</v>
      </c>
    </row>
    <row r="182">
      <c r="A182" s="2" t="s">
        <v>295</v>
      </c>
      <c r="B182" s="1" t="str">
        <f>IFERROR(__xludf.DUMMYFUNCTION("REGEXEXTRACT(A182, ""Month\d+"")"),"Month6")</f>
        <v>Month6</v>
      </c>
      <c r="C182" s="1" t="str">
        <f>IFERROR(__xludf.DUMMYFUNCTION("REGEXEXTRACT(A182, ""#([A-Z])#"")
"),"W")</f>
        <v>W</v>
      </c>
      <c r="D182" s="1" t="str">
        <f>IFERROR(__xludf.DUMMYFUNCTION("REGEXEXTRACT(A182, ""City_([^/]+)"")"),"Bengaluru")</f>
        <v>Bengaluru</v>
      </c>
      <c r="E182" s="1" t="str">
        <f>IFERROR(__xludf.DUMMYFUNCTION("REGEXEXTRACT(A182, ""PRD-([^/]+)"")"),"PowerSip")</f>
        <v>PowerSip</v>
      </c>
      <c r="F182" s="1" t="str">
        <f>IFERROR(__xludf.DUMMYFUNCTION("REGEXEXTRACT(A182, ""OPQ\s+(\d+)"")"),"28722")</f>
        <v>28722</v>
      </c>
      <c r="G182" s="1" t="str">
        <f>IFERROR(__xludf.DUMMYFUNCTION("REGEXEXTRACT(A182, ""NPQ\[.*?\](\d+)"")"),"39924")</f>
        <v>39924</v>
      </c>
    </row>
    <row r="183">
      <c r="A183" s="2" t="s">
        <v>296</v>
      </c>
      <c r="B183" s="1" t="str">
        <f>IFERROR(__xludf.DUMMYFUNCTION("REGEXEXTRACT(A183, ""Month\d+"")"),"Month6")</f>
        <v>Month6</v>
      </c>
      <c r="C183" s="1" t="str">
        <f>IFERROR(__xludf.DUMMYFUNCTION("REGEXEXTRACT(A183, ""#([A-Z])#"")
"),"W")</f>
        <v>W</v>
      </c>
      <c r="D183" s="1" t="str">
        <f>IFERROR(__xludf.DUMMYFUNCTION("REGEXEXTRACT(A183, ""City_([^/]+)"")"),"Bengaluru")</f>
        <v>Bengaluru</v>
      </c>
      <c r="E183" s="1" t="str">
        <f>IFERROR(__xludf.DUMMYFUNCTION("REGEXEXTRACT(A183, ""PRD-([^/]+)"")"),"HappyGrow")</f>
        <v>HappyGrow</v>
      </c>
      <c r="F183" s="1" t="str">
        <f>IFERROR(__xludf.DUMMYFUNCTION("REGEXEXTRACT(A183, ""OPQ\s+(\d+)"")"),"19773")</f>
        <v>19773</v>
      </c>
      <c r="G183" s="1" t="str">
        <f>IFERROR(__xludf.DUMMYFUNCTION("REGEXEXTRACT(A183, ""NPQ\[.*?\](\d+)"")"),"24321")</f>
        <v>24321</v>
      </c>
    </row>
    <row r="184">
      <c r="A184" s="2" t="s">
        <v>297</v>
      </c>
      <c r="B184" s="1" t="str">
        <f>IFERROR(__xludf.DUMMYFUNCTION("REGEXEXTRACT(A184, ""Month\d+"")"),"Month6")</f>
        <v>Month6</v>
      </c>
      <c r="C184" s="1" t="str">
        <f>IFERROR(__xludf.DUMMYFUNCTION("REGEXEXTRACT(A184, ""#([A-Z])#"")
"),"S")</f>
        <v>S</v>
      </c>
      <c r="D184" s="1" t="str">
        <f>IFERROR(__xludf.DUMMYFUNCTION("REGEXEXTRACT(A184, ""City_([^/]+)"")"),"Bengaluru")</f>
        <v>Bengaluru</v>
      </c>
      <c r="E184" s="1" t="str">
        <f>IFERROR(__xludf.DUMMYFUNCTION("REGEXEXTRACT(A184, ""PRD-([^/]+)"")"),"PowerSip")</f>
        <v>PowerSip</v>
      </c>
      <c r="F184" s="1" t="str">
        <f>IFERROR(__xludf.DUMMYFUNCTION("REGEXEXTRACT(A184, ""OPQ\s+(\d+)"")"),"39687")</f>
        <v>39687</v>
      </c>
      <c r="G184" s="1" t="str">
        <f>IFERROR(__xludf.DUMMYFUNCTION("REGEXEXTRACT(A184, ""NPQ\[.*?\](\d+)"")"),"55165")</f>
        <v>55165</v>
      </c>
    </row>
    <row r="185">
      <c r="A185" s="2" t="s">
        <v>298</v>
      </c>
      <c r="B185" s="1" t="str">
        <f>IFERROR(__xludf.DUMMYFUNCTION("REGEXEXTRACT(A185, ""Month\d+"")"),"Month6")</f>
        <v>Month6</v>
      </c>
      <c r="C185" s="1" t="str">
        <f>IFERROR(__xludf.DUMMYFUNCTION("REGEXEXTRACT(A185, ""#([A-Z])#"")
"),"S")</f>
        <v>S</v>
      </c>
      <c r="D185" s="1" t="str">
        <f>IFERROR(__xludf.DUMMYFUNCTION("REGEXEXTRACT(A185, ""City_([^/]+)"")"),"Bengaluru")</f>
        <v>Bengaluru</v>
      </c>
      <c r="E185" s="1" t="str">
        <f>IFERROR(__xludf.DUMMYFUNCTION("REGEXEXTRACT(A185, ""PRD-([^/]+)"")"),"HappyGrow")</f>
        <v>HappyGrow</v>
      </c>
      <c r="F185" s="1" t="str">
        <f>IFERROR(__xludf.DUMMYFUNCTION("REGEXEXTRACT(A185, ""OPQ\s+(\d+)"")"),"34872")</f>
        <v>34872</v>
      </c>
      <c r="G185" s="1" t="str">
        <f>IFERROR(__xludf.DUMMYFUNCTION("REGEXEXTRACT(A185, ""NPQ\[.*?\](\d+)"")"),"42893")</f>
        <v>42893</v>
      </c>
    </row>
    <row r="186">
      <c r="A186" s="2" t="s">
        <v>299</v>
      </c>
      <c r="B186" s="1" t="str">
        <f>IFERROR(__xludf.DUMMYFUNCTION("REGEXEXTRACT(A186, ""Month\d+"")"),"Month6")</f>
        <v>Month6</v>
      </c>
      <c r="C186" s="1" t="str">
        <f>IFERROR(__xludf.DUMMYFUNCTION("REGEXEXTRACT(A186, ""#([A-Z])#"")
"),"N")</f>
        <v>N</v>
      </c>
      <c r="D186" s="1" t="str">
        <f>IFERROR(__xludf.DUMMYFUNCTION("REGEXEXTRACT(A186, ""City_([^/]+)"")"),"Delhi")</f>
        <v>Delhi</v>
      </c>
      <c r="E186" s="1" t="str">
        <f>IFERROR(__xludf.DUMMYFUNCTION("REGEXEXTRACT(A186, ""PRD-([^/]+)"")"),"PowerSip")</f>
        <v>PowerSip</v>
      </c>
      <c r="F186" s="1" t="str">
        <f>IFERROR(__xludf.DUMMYFUNCTION("REGEXEXTRACT(A186, ""OPQ\s+(\d+)"")"),"31941")</f>
        <v>31941</v>
      </c>
      <c r="G186" s="1" t="str">
        <f>IFERROR(__xludf.DUMMYFUNCTION("REGEXEXTRACT(A186, ""NPQ\[.*?\](\d+)"")"),"44398")</f>
        <v>44398</v>
      </c>
    </row>
    <row r="187">
      <c r="A187" s="2" t="s">
        <v>300</v>
      </c>
      <c r="B187" s="1" t="str">
        <f>IFERROR(__xludf.DUMMYFUNCTION("REGEXEXTRACT(A187, ""Month\d+"")"),"Month6")</f>
        <v>Month6</v>
      </c>
      <c r="C187" s="1" t="str">
        <f>IFERROR(__xludf.DUMMYFUNCTION("REGEXEXTRACT(A187, ""#([A-Z])#"")
"),"N")</f>
        <v>N</v>
      </c>
      <c r="D187" s="1" t="str">
        <f>IFERROR(__xludf.DUMMYFUNCTION("REGEXEXTRACT(A187, ""City_([^/]+)"")"),"Delhi")</f>
        <v>Delhi</v>
      </c>
      <c r="E187" s="1" t="str">
        <f>IFERROR(__xludf.DUMMYFUNCTION("REGEXEXTRACT(A187, ""PRD-([^/]+)"")"),"HappyGrow")</f>
        <v>HappyGrow</v>
      </c>
      <c r="F187" s="1" t="str">
        <f>IFERROR(__xludf.DUMMYFUNCTION("REGEXEXTRACT(A187, ""OPQ\s+(\d+)"")"),"17281")</f>
        <v>17281</v>
      </c>
      <c r="G187" s="1" t="str">
        <f>IFERROR(__xludf.DUMMYFUNCTION("REGEXEXTRACT(A187, ""NPQ\[.*?\](\d+)"")"),"21429")</f>
        <v>21429</v>
      </c>
    </row>
    <row r="188">
      <c r="A188" s="2" t="s">
        <v>301</v>
      </c>
      <c r="B188" s="1" t="str">
        <f>IFERROR(__xludf.DUMMYFUNCTION("REGEXEXTRACT(A188, ""Month\d+"")"),"Month6")</f>
        <v>Month6</v>
      </c>
      <c r="C188" s="1" t="str">
        <f>IFERROR(__xludf.DUMMYFUNCTION("REGEXEXTRACT(A188, ""#([A-Z])#"")
"),"E")</f>
        <v>E</v>
      </c>
      <c r="D188" s="1" t="str">
        <f>IFERROR(__xludf.DUMMYFUNCTION("REGEXEXTRACT(A188, ""City_([^/]+)"")"),"Delhi")</f>
        <v>Delhi</v>
      </c>
      <c r="E188" s="1" t="str">
        <f>IFERROR(__xludf.DUMMYFUNCTION("REGEXEXTRACT(A188, ""PRD-([^/]+)"")"),"PowerSip")</f>
        <v>PowerSip</v>
      </c>
      <c r="F188" s="1" t="str">
        <f>IFERROR(__xludf.DUMMYFUNCTION("REGEXEXTRACT(A188, ""OPQ\s+(\d+)"")"),"34740")</f>
        <v>34740</v>
      </c>
      <c r="G188" s="1" t="str">
        <f>IFERROR(__xludf.DUMMYFUNCTION("REGEXEXTRACT(A188, ""NPQ\[.*?\](\d+)"")"),"48636")</f>
        <v>48636</v>
      </c>
    </row>
    <row r="189">
      <c r="A189" s="2" t="s">
        <v>302</v>
      </c>
      <c r="B189" s="1" t="str">
        <f>IFERROR(__xludf.DUMMYFUNCTION("REGEXEXTRACT(A189, ""Month\d+"")"),"Month6")</f>
        <v>Month6</v>
      </c>
      <c r="C189" s="1" t="str">
        <f>IFERROR(__xludf.DUMMYFUNCTION("REGEXEXTRACT(A189, ""#([A-Z])#"")
"),"E")</f>
        <v>E</v>
      </c>
      <c r="D189" s="1" t="str">
        <f>IFERROR(__xludf.DUMMYFUNCTION("REGEXEXTRACT(A189, ""City_([^/]+)"")"),"Delhi")</f>
        <v>Delhi</v>
      </c>
      <c r="E189" s="1" t="str">
        <f>IFERROR(__xludf.DUMMYFUNCTION("REGEXEXTRACT(A189, ""PRD-([^/]+)"")"),"HappyGrow")</f>
        <v>HappyGrow</v>
      </c>
      <c r="F189" s="1" t="str">
        <f>IFERROR(__xludf.DUMMYFUNCTION("REGEXEXTRACT(A189, ""OPQ\s+(\d+)"")"),"18682")</f>
        <v>18682</v>
      </c>
      <c r="G189" s="1" t="str">
        <f>IFERROR(__xludf.DUMMYFUNCTION("REGEXEXTRACT(A189, ""NPQ\[.*?\](\d+)"")"),"23353")</f>
        <v>23353</v>
      </c>
    </row>
    <row r="190">
      <c r="A190" s="2" t="s">
        <v>303</v>
      </c>
      <c r="B190" s="1" t="str">
        <f>IFERROR(__xludf.DUMMYFUNCTION("REGEXEXTRACT(A190, ""Month\d+"")"),"Month6")</f>
        <v>Month6</v>
      </c>
      <c r="C190" s="1" t="str">
        <f>IFERROR(__xludf.DUMMYFUNCTION("REGEXEXTRACT(A190, ""#([A-Z])#"")
"),"W")</f>
        <v>W</v>
      </c>
      <c r="D190" s="1" t="str">
        <f>IFERROR(__xludf.DUMMYFUNCTION("REGEXEXTRACT(A190, ""City_([^/]+)"")"),"Delhi")</f>
        <v>Delhi</v>
      </c>
      <c r="E190" s="1" t="str">
        <f>IFERROR(__xludf.DUMMYFUNCTION("REGEXEXTRACT(A190, ""PRD-([^/]+)"")"),"PowerSip")</f>
        <v>PowerSip</v>
      </c>
      <c r="F190" s="1" t="str">
        <f>IFERROR(__xludf.DUMMYFUNCTION("REGEXEXTRACT(A190, ""OPQ\s+(\d+)"")"),"32357")</f>
        <v>32357</v>
      </c>
      <c r="G190" s="1" t="str">
        <f>IFERROR(__xludf.DUMMYFUNCTION("REGEXEXTRACT(A190, ""NPQ\[.*?\](\d+)"")"),"45300")</f>
        <v>45300</v>
      </c>
    </row>
    <row r="191">
      <c r="A191" s="2" t="s">
        <v>304</v>
      </c>
      <c r="B191" s="1" t="str">
        <f>IFERROR(__xludf.DUMMYFUNCTION("REGEXEXTRACT(A191, ""Month\d+"")"),"Month6")</f>
        <v>Month6</v>
      </c>
      <c r="C191" s="1" t="str">
        <f>IFERROR(__xludf.DUMMYFUNCTION("REGEXEXTRACT(A191, ""#([A-Z])#"")
"),"W")</f>
        <v>W</v>
      </c>
      <c r="D191" s="1" t="str">
        <f>IFERROR(__xludf.DUMMYFUNCTION("REGEXEXTRACT(A191, ""City_([^/]+)"")"),"Delhi")</f>
        <v>Delhi</v>
      </c>
      <c r="E191" s="1" t="str">
        <f>IFERROR(__xludf.DUMMYFUNCTION("REGEXEXTRACT(A191, ""PRD-([^/]+)"")"),"HappyGrow")</f>
        <v>HappyGrow</v>
      </c>
      <c r="F191" s="1" t="str">
        <f>IFERROR(__xludf.DUMMYFUNCTION("REGEXEXTRACT(A191, ""OPQ\s+(\d+)"")"),"21381")</f>
        <v>21381</v>
      </c>
      <c r="G191" s="1" t="str">
        <f>IFERROR(__xludf.DUMMYFUNCTION("REGEXEXTRACT(A191, ""NPQ\[.*?\](\d+)"")"),"26727")</f>
        <v>26727</v>
      </c>
    </row>
    <row r="192">
      <c r="A192" s="2" t="s">
        <v>305</v>
      </c>
      <c r="B192" s="1" t="str">
        <f>IFERROR(__xludf.DUMMYFUNCTION("REGEXEXTRACT(A192, ""Month\d+"")"),"Month6")</f>
        <v>Month6</v>
      </c>
      <c r="C192" s="1" t="str">
        <f>IFERROR(__xludf.DUMMYFUNCTION("REGEXEXTRACT(A192, ""#([A-Z])#"")
"),"S")</f>
        <v>S</v>
      </c>
      <c r="D192" s="1" t="str">
        <f>IFERROR(__xludf.DUMMYFUNCTION("REGEXEXTRACT(A192, ""City_([^/]+)"")"),"Delhi")</f>
        <v>Delhi</v>
      </c>
      <c r="E192" s="1" t="str">
        <f>IFERROR(__xludf.DUMMYFUNCTION("REGEXEXTRACT(A192, ""PRD-([^/]+)"")"),"PowerSip")</f>
        <v>PowerSip</v>
      </c>
      <c r="F192" s="1" t="str">
        <f>IFERROR(__xludf.DUMMYFUNCTION("REGEXEXTRACT(A192, ""OPQ\s+(\d+)"")"),"27888")</f>
        <v>27888</v>
      </c>
      <c r="G192" s="1" t="str">
        <f>IFERROR(__xludf.DUMMYFUNCTION("REGEXEXTRACT(A192, ""NPQ\[.*?\](\d+)"")"),"39044")</f>
        <v>39044</v>
      </c>
    </row>
    <row r="193">
      <c r="A193" s="2" t="s">
        <v>306</v>
      </c>
      <c r="B193" s="1" t="str">
        <f>IFERROR(__xludf.DUMMYFUNCTION("REGEXEXTRACT(A193, ""Month\d+"")"),"Month6")</f>
        <v>Month6</v>
      </c>
      <c r="C193" s="1" t="str">
        <f>IFERROR(__xludf.DUMMYFUNCTION("REGEXEXTRACT(A193, ""#([A-Z])#"")
"),"S")</f>
        <v>S</v>
      </c>
      <c r="D193" s="1" t="str">
        <f>IFERROR(__xludf.DUMMYFUNCTION("REGEXEXTRACT(A193, ""City_([^/]+)"")"),"Delhi")</f>
        <v>Delhi</v>
      </c>
      <c r="E193" s="1" t="str">
        <f>IFERROR(__xludf.DUMMYFUNCTION("REGEXEXTRACT(A193, ""PRD-([^/]+)"")"),"HappyGrow")</f>
        <v>HappyGrow</v>
      </c>
      <c r="F193" s="1" t="str">
        <f>IFERROR(__xludf.DUMMYFUNCTION("REGEXEXTRACT(A193, ""OPQ\s+(\d+)"")"),"32072")</f>
        <v>32072</v>
      </c>
      <c r="G193" s="1" t="str">
        <f>IFERROR(__xludf.DUMMYFUNCTION("REGEXEXTRACT(A193, ""NPQ\[.*?\](\d+)"")"),"40090")</f>
        <v>40090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8.5"/>
    <col customWidth="1" min="3" max="3" width="14.5"/>
  </cols>
  <sheetData>
    <row r="1">
      <c r="A1" s="62" t="s">
        <v>307</v>
      </c>
      <c r="B1" s="63" t="s">
        <v>308</v>
      </c>
      <c r="C1" s="63"/>
      <c r="D1" s="63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62" t="s">
        <v>309</v>
      </c>
      <c r="B3" s="2" t="s">
        <v>115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64"/>
      <c r="B4" s="64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65" t="s">
        <v>310</v>
      </c>
      <c r="B5" s="66" t="s">
        <v>311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65" t="s">
        <v>312</v>
      </c>
      <c r="B6" s="66" t="s">
        <v>313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65" t="s">
        <v>314</v>
      </c>
      <c r="B7" s="66" t="s">
        <v>315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65" t="s">
        <v>11</v>
      </c>
      <c r="B8" s="66" t="s">
        <v>316</v>
      </c>
      <c r="C8" s="28"/>
      <c r="D8" s="28"/>
      <c r="E8" s="28"/>
      <c r="F8" s="28"/>
      <c r="G8" s="28"/>
      <c r="H8" s="25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65">
        <v>21497.0</v>
      </c>
      <c r="B9" s="66" t="s">
        <v>317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65">
        <v>22572.0</v>
      </c>
      <c r="B10" s="66" t="s">
        <v>318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62" t="s">
        <v>319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67" t="s">
        <v>320</v>
      </c>
      <c r="B13" s="67" t="s">
        <v>321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66" t="s">
        <v>112</v>
      </c>
      <c r="B14" s="66" t="s">
        <v>322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66" t="s">
        <v>323</v>
      </c>
      <c r="B15" s="66" t="s">
        <v>324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66" t="s">
        <v>325</v>
      </c>
      <c r="B16" s="66" t="s">
        <v>326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6" t="s">
        <v>312</v>
      </c>
      <c r="B2" s="46" t="s">
        <v>327</v>
      </c>
      <c r="D2" s="2" t="s">
        <v>310</v>
      </c>
      <c r="E2" s="46" t="s">
        <v>68</v>
      </c>
    </row>
    <row r="3">
      <c r="A3" s="46" t="s">
        <v>328</v>
      </c>
      <c r="B3" s="46" t="s">
        <v>329</v>
      </c>
      <c r="D3" s="2" t="s">
        <v>330</v>
      </c>
      <c r="E3" s="46" t="s">
        <v>46</v>
      </c>
    </row>
    <row r="4">
      <c r="A4" s="46" t="s">
        <v>331</v>
      </c>
      <c r="B4" s="46" t="s">
        <v>332</v>
      </c>
      <c r="D4" s="2" t="s">
        <v>333</v>
      </c>
      <c r="E4" s="46" t="s">
        <v>47</v>
      </c>
    </row>
    <row r="5">
      <c r="A5" s="46" t="s">
        <v>334</v>
      </c>
      <c r="B5" s="46" t="s">
        <v>335</v>
      </c>
      <c r="D5" s="2" t="s">
        <v>336</v>
      </c>
      <c r="E5" s="46" t="s">
        <v>48</v>
      </c>
    </row>
    <row r="6">
      <c r="D6" s="2" t="s">
        <v>337</v>
      </c>
      <c r="E6" s="46" t="s">
        <v>49</v>
      </c>
    </row>
    <row r="7">
      <c r="D7" s="2" t="s">
        <v>338</v>
      </c>
      <c r="E7" s="46" t="s">
        <v>50</v>
      </c>
    </row>
    <row r="8">
      <c r="D8" s="2" t="s">
        <v>339</v>
      </c>
      <c r="E8" s="46" t="s">
        <v>340</v>
      </c>
    </row>
    <row r="9">
      <c r="D9" s="2" t="s">
        <v>341</v>
      </c>
      <c r="E9" s="46" t="s">
        <v>342</v>
      </c>
    </row>
    <row r="10">
      <c r="D10" s="2" t="s">
        <v>343</v>
      </c>
      <c r="E10" s="46" t="s">
        <v>344</v>
      </c>
    </row>
    <row r="11">
      <c r="D11" s="2" t="s">
        <v>345</v>
      </c>
      <c r="E11" s="46" t="s">
        <v>346</v>
      </c>
    </row>
    <row r="12">
      <c r="D12" s="2" t="s">
        <v>347</v>
      </c>
      <c r="E12" s="46" t="s">
        <v>348</v>
      </c>
    </row>
    <row r="13">
      <c r="D13" s="2" t="s">
        <v>349</v>
      </c>
      <c r="E13" s="46" t="s">
        <v>350</v>
      </c>
    </row>
    <row r="14">
      <c r="A14" s="2" t="s">
        <v>310</v>
      </c>
      <c r="B14" s="46" t="s">
        <v>330</v>
      </c>
      <c r="C14" s="46" t="s">
        <v>333</v>
      </c>
      <c r="D14" s="46" t="s">
        <v>336</v>
      </c>
      <c r="E14" s="46" t="s">
        <v>337</v>
      </c>
      <c r="F14" s="46" t="s">
        <v>338</v>
      </c>
      <c r="G14" s="46" t="s">
        <v>339</v>
      </c>
      <c r="H14" s="46" t="s">
        <v>341</v>
      </c>
      <c r="I14" s="46" t="s">
        <v>343</v>
      </c>
      <c r="J14" s="46" t="s">
        <v>345</v>
      </c>
      <c r="K14" s="46" t="s">
        <v>347</v>
      </c>
      <c r="L14" s="46" t="s">
        <v>349</v>
      </c>
    </row>
    <row r="15">
      <c r="A15" s="46" t="s">
        <v>68</v>
      </c>
      <c r="B15" s="46" t="s">
        <v>46</v>
      </c>
      <c r="C15" s="46" t="s">
        <v>47</v>
      </c>
      <c r="D15" s="46" t="s">
        <v>48</v>
      </c>
      <c r="E15" s="46" t="s">
        <v>49</v>
      </c>
      <c r="F15" s="46" t="s">
        <v>50</v>
      </c>
      <c r="G15" s="46" t="s">
        <v>340</v>
      </c>
      <c r="H15" s="46" t="s">
        <v>342</v>
      </c>
      <c r="I15" s="46" t="s">
        <v>344</v>
      </c>
      <c r="J15" s="46" t="s">
        <v>346</v>
      </c>
      <c r="K15" s="46" t="s">
        <v>348</v>
      </c>
      <c r="L15" s="46" t="s">
        <v>350</v>
      </c>
      <c r="P15" s="46"/>
    </row>
  </sheetData>
  <drawing r:id="rId1"/>
</worksheet>
</file>